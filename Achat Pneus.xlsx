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HATS" sheetId="1" r:id="rId4"/>
  </sheets>
  <definedNames>
    <definedName hidden="1" localSheetId="0" name="_xlnm._FilterDatabase">ACHATS!$A$1:$Z$2531</definedName>
  </definedNames>
  <calcPr/>
  <extLst>
    <ext uri="GoogleSheetsCustomDataVersion2">
      <go:sheetsCustomData xmlns:go="http://customooxmlschemas.google.com/" r:id="rId5" roundtripDataChecksum="Ynpklw4/09iLkDR0ByJishbeAjezRnccYbm7KxtGkJc="/>
    </ext>
  </extLst>
</workbook>
</file>

<file path=xl/sharedStrings.xml><?xml version="1.0" encoding="utf-8"?>
<sst xmlns="http://schemas.openxmlformats.org/spreadsheetml/2006/main" count="6602" uniqueCount="1192">
  <si>
    <t>DATE</t>
  </si>
  <si>
    <t>COMMANDE</t>
  </si>
  <si>
    <t>FOURNISSEUR</t>
  </si>
  <si>
    <t>QUANTITE</t>
  </si>
  <si>
    <t>PRIX D'ACHAT</t>
  </si>
  <si>
    <t>PAIEMENT</t>
  </si>
  <si>
    <t>DATE DE PAIEMENT</t>
  </si>
  <si>
    <t>COMMENTAIRE</t>
  </si>
  <si>
    <t>245/40R19 PIRELLI P7 RFT</t>
  </si>
  <si>
    <t>FOULKI</t>
  </si>
  <si>
    <t>PAYE</t>
  </si>
  <si>
    <t>225/40R18 BRIDGESTONE RFT</t>
  </si>
  <si>
    <t>225/55R18 BRIDGESTONE T005</t>
  </si>
  <si>
    <t>225/60R17 HANKOOK</t>
  </si>
  <si>
    <t>275/45R21 CONTINENTAL</t>
  </si>
  <si>
    <t xml:space="preserve">255/50R19 HANKOOK </t>
  </si>
  <si>
    <t xml:space="preserve">225/40R18 BRIDGESTONE </t>
  </si>
  <si>
    <t>215/50R17 BRIDGESTONE</t>
  </si>
  <si>
    <t>225/4518 GOODYEAR RFT</t>
  </si>
  <si>
    <t>235/60R18 GOODYEAR</t>
  </si>
  <si>
    <t>205/55R16 MICHELIN P4</t>
  </si>
  <si>
    <t xml:space="preserve">265/65R17 CONTINENTAL </t>
  </si>
  <si>
    <t>235/55R18 NEXEN</t>
  </si>
  <si>
    <t>235/65R17 GOODYEAR</t>
  </si>
  <si>
    <t>225/65R17 NEXEN</t>
  </si>
  <si>
    <t>255/35R21 PIRELLI</t>
  </si>
  <si>
    <t>255/50R19 PIRELLI</t>
  </si>
  <si>
    <t>235/60R18 HANKOOK</t>
  </si>
  <si>
    <t>205/55R16 CONTINENTAL PC6</t>
  </si>
  <si>
    <t>235/50R18 BRIDGESTONE</t>
  </si>
  <si>
    <t>205/60R16 GOODYEAR</t>
  </si>
  <si>
    <t>215/55R17 BRIDGESTONE</t>
  </si>
  <si>
    <t>185/65R15 CONTINENTAL CEC5</t>
  </si>
  <si>
    <t>275/45R20 PIRELLI</t>
  </si>
  <si>
    <t>225/50R17 GOODYEAR RFT</t>
  </si>
  <si>
    <t>225/40R18 BRIDGESTONE</t>
  </si>
  <si>
    <t>RETOUR MARCHANDISE 12/06/2024</t>
  </si>
  <si>
    <t>185/65R15 HANKOOK</t>
  </si>
  <si>
    <t>215/65R16 BRIDGESTONE</t>
  </si>
  <si>
    <t>215/60R17 NEXEN</t>
  </si>
  <si>
    <t>225/55R17 PIRELLI RFT</t>
  </si>
  <si>
    <t>235/60R18 MICHELIN P4</t>
  </si>
  <si>
    <t>185/60R15 NEXEN</t>
  </si>
  <si>
    <t>225/45R17 HANKOOK</t>
  </si>
  <si>
    <t>235/55R17 GOODYEAR</t>
  </si>
  <si>
    <t>225/45R17 MICHELIN PS4 ZP</t>
  </si>
  <si>
    <t>235/60R18 BRIDGESTONE DUELER</t>
  </si>
  <si>
    <t>225/55R17 HANKOOK RFT</t>
  </si>
  <si>
    <t>225/45R17 PIRELLI</t>
  </si>
  <si>
    <t>255/55R19</t>
  </si>
  <si>
    <t>215/45R16</t>
  </si>
  <si>
    <t>225/45R17 BRIDGESTONE T005</t>
  </si>
  <si>
    <t>225/45R18 BRIDGESTONE T005</t>
  </si>
  <si>
    <t>255/55R18 CONTI CSC5</t>
  </si>
  <si>
    <t>235/60R18 NEXEN</t>
  </si>
  <si>
    <t xml:space="preserve">225/45R17 HANKOOK RFT </t>
  </si>
  <si>
    <t>275/40R20 FIRESTONE</t>
  </si>
  <si>
    <t>225/55R17 MICH P3 ZP</t>
  </si>
  <si>
    <t>225/40R18 BRIDGESTONE T005 RFT</t>
  </si>
  <si>
    <t>195/65R15 CONTINENTAL EC6</t>
  </si>
  <si>
    <t>225/40R19 GOODYEAR RFT</t>
  </si>
  <si>
    <t>185/65R15 BARUM</t>
  </si>
  <si>
    <t>225/60R18 PIRELLI RFT</t>
  </si>
  <si>
    <t>255/45R20 CONTINENTAL ECO6 Q</t>
  </si>
  <si>
    <t>205/55R16 NEXEN</t>
  </si>
  <si>
    <t>235/55R18 MICHELIN P4</t>
  </si>
  <si>
    <t xml:space="preserve">255/55R18 BRIDGESTONE </t>
  </si>
  <si>
    <t>205/55R16 CONTI SSR</t>
  </si>
  <si>
    <t>255/45R20 BRIDGESTONE</t>
  </si>
  <si>
    <t>245/45R19 BRIDGESTONE RFT</t>
  </si>
  <si>
    <t>255/40R19 BRIDGESTONE</t>
  </si>
  <si>
    <t>235/55R19 MICHELIN LAT SP3 AO</t>
  </si>
  <si>
    <t>235/45R17 CONTI CP6</t>
  </si>
  <si>
    <t>235/60R18 BRIDGESTONE TUR6</t>
  </si>
  <si>
    <t>225/40R19 RFT S001 BRIDGESTONE</t>
  </si>
  <si>
    <t>205/45R17 FALKEN</t>
  </si>
  <si>
    <t>195/65R15 GOODYEAR ES2</t>
  </si>
  <si>
    <t>255/45R20 BFGOODRICH</t>
  </si>
  <si>
    <t>215/65R16 NEXEN</t>
  </si>
  <si>
    <t>2X2155517 BRID TUR6:2500DH ET 2X2156516 GY ES2:1900DH</t>
  </si>
  <si>
    <t>225/55R18 BFGOODRICH</t>
  </si>
  <si>
    <t>215/65R16</t>
  </si>
  <si>
    <t>235/35R19 PIRELLI PZERO HN</t>
  </si>
  <si>
    <t>AUTOLINK</t>
  </si>
  <si>
    <t>225/40R19 BRIDGESTONE RFT</t>
  </si>
  <si>
    <t>275/50R20 BRIDGESTONE ALENZA RFT</t>
  </si>
  <si>
    <t>225/40R18 HANKOOK RFT</t>
  </si>
  <si>
    <t>195/65R15 NEXEN</t>
  </si>
  <si>
    <t>225/45R19 BRIDGESTONE POTENZA</t>
  </si>
  <si>
    <t>215/70R16 HANKOOK K115</t>
  </si>
  <si>
    <t>255/40R20 CONTINENTAL SC6 AO SI</t>
  </si>
  <si>
    <t>225/50R17 GOODYEAR NORMAL</t>
  </si>
  <si>
    <t>205/45R17 BFG</t>
  </si>
  <si>
    <t>235/60R16 FIRESTONE</t>
  </si>
  <si>
    <t>235/65R18 GOODYEAR</t>
  </si>
  <si>
    <t>225/50R17 BRIDGESTONE RFT</t>
  </si>
  <si>
    <t>225/40R18 GOODYEAR</t>
  </si>
  <si>
    <t>PAR CHEQUE N0543897</t>
  </si>
  <si>
    <t>235/50R18 MICHELIN P4+</t>
  </si>
  <si>
    <t>185/65R15 PIRELLI P1</t>
  </si>
  <si>
    <t>205/55R16 BRIDGESTONE</t>
  </si>
  <si>
    <t>225/65R17 BRIDGESTONE</t>
  </si>
  <si>
    <t>255/55R18 HANKOOK</t>
  </si>
  <si>
    <t>215/60R17 MICHELIN P3</t>
  </si>
  <si>
    <t>215/45R16 NEXEN</t>
  </si>
  <si>
    <t>245/45R19 BRIDGESTONE S001</t>
  </si>
  <si>
    <t>205/55R17 BFGOODRICH</t>
  </si>
  <si>
    <t>295/35R21 MICHELIN</t>
  </si>
  <si>
    <t>235/55R19 BFGOODRICH</t>
  </si>
  <si>
    <t>245/40R18 RFT BRIDGESTONE SS01</t>
  </si>
  <si>
    <t>215/65R16 GY EFG 102H</t>
  </si>
  <si>
    <t>255/35R19 PIRELLI PZRO PZ4 RFT</t>
  </si>
  <si>
    <t>185/65R15 BRIDGESTONE T005</t>
  </si>
  <si>
    <t>EAS</t>
  </si>
  <si>
    <t>225/50R17 PIRELLI RFT P7</t>
  </si>
  <si>
    <t>225/60R18 BFGOODRICH</t>
  </si>
  <si>
    <t>235/55R17 NEXEN</t>
  </si>
  <si>
    <t>185/65R15 LAUFEN</t>
  </si>
  <si>
    <t>205/55R16 CONTINENTAL</t>
  </si>
  <si>
    <t>245/45R20 PIRELI SC ZERO</t>
  </si>
  <si>
    <t>225/45R17 BRIDGESTONE T001 RFT</t>
  </si>
  <si>
    <t xml:space="preserve">255/40R21 BRIDGESTONE </t>
  </si>
  <si>
    <t>NON PAYE</t>
  </si>
  <si>
    <t>275/30R20 GOODYEAR RFT</t>
  </si>
  <si>
    <t>235/55R18 MICHELIN P4+</t>
  </si>
  <si>
    <t>255/60R17 MICHELIN LAT SP3</t>
  </si>
  <si>
    <t>MALL PNEUS</t>
  </si>
  <si>
    <t>225/50R17 KLEBER</t>
  </si>
  <si>
    <t>ROCAMORA</t>
  </si>
  <si>
    <t>245/45R18 GOODYEAR EFG ROF</t>
  </si>
  <si>
    <t>175/70R14 GY EFGCOM2</t>
  </si>
  <si>
    <t xml:space="preserve">130/70R12 MICHELIN </t>
  </si>
  <si>
    <t>DMA</t>
  </si>
  <si>
    <t>CPIT</t>
  </si>
  <si>
    <t xml:space="preserve">225/45R17 GY RFT </t>
  </si>
  <si>
    <t xml:space="preserve">225/45R17 FALKEN </t>
  </si>
  <si>
    <t>ENNOUR</t>
  </si>
  <si>
    <t>185/65R15 NEXEN NB HD+</t>
  </si>
  <si>
    <t>CPMD</t>
  </si>
  <si>
    <t>205/55R16 HANKOOK K135</t>
  </si>
  <si>
    <t>225/40R18 GOODYEAR ES NORMAL</t>
  </si>
  <si>
    <t>235/40R18 BRIDGESTONE T005</t>
  </si>
  <si>
    <t>215/60R17 BRIDGESTONE T005</t>
  </si>
  <si>
    <t>MANUGOM</t>
  </si>
  <si>
    <t>235/35R19 BRIDGETSONE PSP</t>
  </si>
  <si>
    <t>215/60R17 HANKOOK</t>
  </si>
  <si>
    <t>STAR PNEUMATIQUE</t>
  </si>
  <si>
    <t>185/65R15  NEXEN</t>
  </si>
  <si>
    <t>ASSM</t>
  </si>
  <si>
    <t xml:space="preserve">245/45R17 NEXEN </t>
  </si>
  <si>
    <t>205/65R16C BRIDGESTONE R660</t>
  </si>
  <si>
    <t>150/70R13 MICHELIN CITY GRIP2</t>
  </si>
  <si>
    <t>205/60R16 LAUFEEN</t>
  </si>
  <si>
    <t>255/55R20 BRIDGESTONE TUR6</t>
  </si>
  <si>
    <t>SPHF</t>
  </si>
  <si>
    <t>205/55R16 FIRESTONE</t>
  </si>
  <si>
    <t>PBD</t>
  </si>
  <si>
    <t>235/65R17 CONTINENTAL</t>
  </si>
  <si>
    <t>215/65R17 HANKOOK K117</t>
  </si>
  <si>
    <t>HAMID2MARS</t>
  </si>
  <si>
    <t>205/60R16 MICHELIN</t>
  </si>
  <si>
    <t xml:space="preserve">225/40R18 BRIDGESTONE T005 </t>
  </si>
  <si>
    <t>205/55R19 MICHELIN P4</t>
  </si>
  <si>
    <t>195/65R16C LAUFEN</t>
  </si>
  <si>
    <t>90/100-21 ET 110/90-19 MITAS</t>
  </si>
  <si>
    <t>215/55R16 GOODYEAR</t>
  </si>
  <si>
    <t>235/50R19 HANKOOK</t>
  </si>
  <si>
    <t>120/70R19 ET 170/60R17 MICHELIN</t>
  </si>
  <si>
    <t>205/55R17 BRIDGESTONE RFT</t>
  </si>
  <si>
    <t>185/65R15 FIRESTONE</t>
  </si>
  <si>
    <t>255/40R19 NEXEN</t>
  </si>
  <si>
    <t>215/60R16 FIRESTONE</t>
  </si>
  <si>
    <t>185/65R15 GOODYEAR EAGLE SPORT2</t>
  </si>
  <si>
    <t>185/55R15 HANKOOK</t>
  </si>
  <si>
    <t>235/55R19 PIRELLI RFT</t>
  </si>
  <si>
    <t>245/45R19 PETLAS</t>
  </si>
  <si>
    <t>AYOURS</t>
  </si>
  <si>
    <t>215/55R17 HANKOOK K125</t>
  </si>
  <si>
    <t>215/50R18 BRIDGESTONE T005</t>
  </si>
  <si>
    <t>215/45R18 HANKOOK K127</t>
  </si>
  <si>
    <t>245/35R20 GOODYEAR ASYM3 ROF</t>
  </si>
  <si>
    <t>225/50R17 HANKOOK K117B RFT</t>
  </si>
  <si>
    <t>225/45R18 HANKOOK RFT</t>
  </si>
  <si>
    <t>225/45R17 CONTINENTAL CP7</t>
  </si>
  <si>
    <t>215/40R18 BRIDGESTONE T005</t>
  </si>
  <si>
    <t>205/45R17 BRIDGESTONE T005 84V</t>
  </si>
  <si>
    <t xml:space="preserve">185/55R15 CONTINENTAL </t>
  </si>
  <si>
    <t>195/5015 HANKOOK</t>
  </si>
  <si>
    <t>255/40R19 PIRELI PZRO</t>
  </si>
  <si>
    <t xml:space="preserve">120/80R16 MICHELIN </t>
  </si>
  <si>
    <t>175/70R14 DUNLOP</t>
  </si>
  <si>
    <t>245/45R18 BRIDGESTONE RFT</t>
  </si>
  <si>
    <t>195/55R16 GITI</t>
  </si>
  <si>
    <t>225/60R17 PIRELLI P7</t>
  </si>
  <si>
    <t>225/60R17 HANKOOK K115</t>
  </si>
  <si>
    <t>275/45R20 GOODYEAR</t>
  </si>
  <si>
    <t>185/60R15 HANKOOK</t>
  </si>
  <si>
    <t>225/50R17 GOODYEAR</t>
  </si>
  <si>
    <t>255/50R19 SAVA</t>
  </si>
  <si>
    <t>205/60R16 MICHELIN P4+</t>
  </si>
  <si>
    <t>185/60R15 GOODYEAR</t>
  </si>
  <si>
    <t>155/65R14 NEXEN</t>
  </si>
  <si>
    <t>225/40R18 CONTINENTAL ECO6 SSR</t>
  </si>
  <si>
    <t>235/45R17 GOODYEAR</t>
  </si>
  <si>
    <t>DAS</t>
  </si>
  <si>
    <t>235/55R17 HANKOOK</t>
  </si>
  <si>
    <t>225/55R18 HANKOOK</t>
  </si>
  <si>
    <t>215/60R16 BRIDGESTONE</t>
  </si>
  <si>
    <t>215/60R16 MICHELIN</t>
  </si>
  <si>
    <t>205/65R15 DEBICA</t>
  </si>
  <si>
    <t>AMRANI</t>
  </si>
  <si>
    <t>235/55R17 LAUFEN</t>
  </si>
  <si>
    <t xml:space="preserve">205/60R16 NEXEN </t>
  </si>
  <si>
    <t>215/70R16 HANKOOK RA33</t>
  </si>
  <si>
    <t>235/50R19 NEXEN</t>
  </si>
  <si>
    <t>225/60R17 HANKOOK K135</t>
  </si>
  <si>
    <t>205/55R16 PIRELLI P7 RFT</t>
  </si>
  <si>
    <t>225/45R17 MICHELIN PS5</t>
  </si>
  <si>
    <t>ABDERAHMAN PYM</t>
  </si>
  <si>
    <t>255/60R18 HANKOOK</t>
  </si>
  <si>
    <t>225/45R17 T005 RFT</t>
  </si>
  <si>
    <t xml:space="preserve">225/40R18 CONTINENTAL ECO6 </t>
  </si>
  <si>
    <t>RETOUR</t>
  </si>
  <si>
    <t>225/45R17 MICHELIN ZP</t>
  </si>
  <si>
    <t>8,5R17,5 HANKOOK</t>
  </si>
  <si>
    <t>275/45R21 110Y PIRELLI SCV AS</t>
  </si>
  <si>
    <t>205/65R16 BRIDGESTONE</t>
  </si>
  <si>
    <t>205/65R15 LAUFENN</t>
  </si>
  <si>
    <t xml:space="preserve">215/65R16 MICHELIN </t>
  </si>
  <si>
    <t>265/60R18 BRIDGESTONE</t>
  </si>
  <si>
    <t>265/35R21 PIRELLI PZERO PZ4</t>
  </si>
  <si>
    <t>315/30R22 PIRELLI</t>
  </si>
  <si>
    <t>225/50R17 GOODYEAR EFGPER</t>
  </si>
  <si>
    <t xml:space="preserve">205/60R16 BRIDGESTONE </t>
  </si>
  <si>
    <t>205/50R17 FALKEN</t>
  </si>
  <si>
    <t>235/60R17 KUMHO</t>
  </si>
  <si>
    <t>225/45R17 HNAKOOK RFT</t>
  </si>
  <si>
    <t>225/55R16 FALKEN</t>
  </si>
  <si>
    <t>225/55R18 MICHELIN</t>
  </si>
  <si>
    <t>215/65R17 NEXEN</t>
  </si>
  <si>
    <t>185/65R15 BRIDGESTONE TURANZA ECO</t>
  </si>
  <si>
    <t>175/65R14 BRIDGESTONE</t>
  </si>
  <si>
    <t>195/55R16 MICHELIN</t>
  </si>
  <si>
    <t>215/65R17 FALKEN</t>
  </si>
  <si>
    <t>225/40R18 GOODYEAR EFGPER</t>
  </si>
  <si>
    <t xml:space="preserve">195/55R16 PIRELLI </t>
  </si>
  <si>
    <t>205/65R15 BRIDGESTONE</t>
  </si>
  <si>
    <t>205/45R17 HANKOOK RFT</t>
  </si>
  <si>
    <t xml:space="preserve">285/45R21 HANKOOK </t>
  </si>
  <si>
    <t>205/65R15 FALKEN</t>
  </si>
  <si>
    <t>215/65R16 GOODYEAR EFG 98H</t>
  </si>
  <si>
    <t>235/35R19 NEXEN</t>
  </si>
  <si>
    <t>245/40R18 LAUFEN</t>
  </si>
  <si>
    <t>205/65R16 NEXEN</t>
  </si>
  <si>
    <t>195/50R15 LAUFEN</t>
  </si>
  <si>
    <t>205/55R16 HANKOOK K435</t>
  </si>
  <si>
    <t>205/55R16 KUMHO</t>
  </si>
  <si>
    <t>BRAHIM ATTACHAROUK</t>
  </si>
  <si>
    <t>175/65R14 NEXEN</t>
  </si>
  <si>
    <t>205/60R16 GITI</t>
  </si>
  <si>
    <t>255/35R19 BRIDGESTONE RFT</t>
  </si>
  <si>
    <t>215/60R17 GOODYEAR</t>
  </si>
  <si>
    <t>205/60R16 GOODYEAR RFT</t>
  </si>
  <si>
    <t>225/40R18 MICHELIN PS5</t>
  </si>
  <si>
    <t>245/40R19 LAUFEN</t>
  </si>
  <si>
    <t>225/55R18 NEXEN</t>
  </si>
  <si>
    <t>185/65R15 PETLAS</t>
  </si>
  <si>
    <t>215/65R16 HANKOOK K125</t>
  </si>
  <si>
    <t>235/55R17 FIRESTONE</t>
  </si>
  <si>
    <t>185/55R15 NEXEN</t>
  </si>
  <si>
    <t>185/65R15 BRIDGESTONE EP150</t>
  </si>
  <si>
    <t>195/55R16 BRIDGESTONE T005</t>
  </si>
  <si>
    <t>185/65R15 CONTINENTAL CEC3</t>
  </si>
  <si>
    <t>195/65R15 MICHELIN</t>
  </si>
  <si>
    <t>275/35R19 BRIDGESTONE RFT</t>
  </si>
  <si>
    <t>225/45R17 GY ES TZ</t>
  </si>
  <si>
    <t>235/50R17 HANKOOK K117A</t>
  </si>
  <si>
    <t xml:space="preserve">215/65R17 CONTINENTAL </t>
  </si>
  <si>
    <t>225/45R17 MICH PS5</t>
  </si>
  <si>
    <t>225/60R18 BRIDGESTONE RFT</t>
  </si>
  <si>
    <t>195/50R15 CONTI ULTRA</t>
  </si>
  <si>
    <t>215/40R18 CONTI</t>
  </si>
  <si>
    <t>235/50R18 RFT CONTI</t>
  </si>
  <si>
    <t>225/45R18 GOODYEAR ES</t>
  </si>
  <si>
    <t>205/60R16 CONTINENTAL ECO6</t>
  </si>
  <si>
    <t xml:space="preserve">205/60R15 GY </t>
  </si>
  <si>
    <t>195/65R15 HANKOOK K435</t>
  </si>
  <si>
    <t>235/50R17 NEXEN</t>
  </si>
  <si>
    <t>235/40R19 FIRESTONE</t>
  </si>
  <si>
    <t>225/45R18 BRIDGESTONE S001 RFT</t>
  </si>
  <si>
    <t>130/60R13 MICHELIN CITY GRIP</t>
  </si>
  <si>
    <t>205/55R16 GOODYEAR EFGPER</t>
  </si>
  <si>
    <t>195/65R15 BRIDGESTONE T005</t>
  </si>
  <si>
    <t>235/50R18 GOODYEAR EFACYM6</t>
  </si>
  <si>
    <t>225/50R17 LAUFENN</t>
  </si>
  <si>
    <t>225/65R17 GOODYEAR</t>
  </si>
  <si>
    <t>215/65R16 CONTI</t>
  </si>
  <si>
    <t xml:space="preserve">205/55R16 HANKOOK </t>
  </si>
  <si>
    <t xml:space="preserve">255/60R18 MICHELIN </t>
  </si>
  <si>
    <t>185/60R15 GY</t>
  </si>
  <si>
    <t>205/55R16 HANKOOK</t>
  </si>
  <si>
    <t>215/65R17 HANKOOK K125A</t>
  </si>
  <si>
    <t>255/35R20 PIRELLI</t>
  </si>
  <si>
    <t>225/45R17 HANKOOK K135</t>
  </si>
  <si>
    <t xml:space="preserve">225/40R18 HANKOOK </t>
  </si>
  <si>
    <t>215/65R16 BFG</t>
  </si>
  <si>
    <t>205/60R15 HANKOOK</t>
  </si>
  <si>
    <t>195/65R15 FALKEN</t>
  </si>
  <si>
    <t>245/45R18 HANKOOK RFT</t>
  </si>
  <si>
    <t>185/65R15 CONTI CEC5</t>
  </si>
  <si>
    <t>225/40R18 NEXEN</t>
  </si>
  <si>
    <t>PAR AHMED</t>
  </si>
  <si>
    <t>195/60R16 NEXEN</t>
  </si>
  <si>
    <t xml:space="preserve">205/55R17 NEXEN </t>
  </si>
  <si>
    <t>275/40R20 BRIDGESTONE</t>
  </si>
  <si>
    <t>235/55R18 MICHELIN P4 VOL</t>
  </si>
  <si>
    <t>245/35R20 CONTI SC7</t>
  </si>
  <si>
    <t>255/40R20 CONTINENTAL SC5 SUV</t>
  </si>
  <si>
    <t>215/60R17 96H BRIDGESTONE DUELER HP SPORT</t>
  </si>
  <si>
    <t>225/45R18 95Y RFT BRIDGESTONE T005</t>
  </si>
  <si>
    <t>195/55R16 87H LAUFENN LK01</t>
  </si>
  <si>
    <t>235/55R18 104V NEXEN NFERA PRIMUS</t>
  </si>
  <si>
    <t>PNEUS24</t>
  </si>
  <si>
    <t>235/65R17 108V BRIDGESTONE TURANZA 6</t>
  </si>
  <si>
    <t>225/45R18 91W RFT BRIDGESTONE S001</t>
  </si>
  <si>
    <t>TILAL</t>
  </si>
  <si>
    <t>7/9/0204</t>
  </si>
  <si>
    <t>245/40R18 97Y RFT BRIDGESTONE S001</t>
  </si>
  <si>
    <t xml:space="preserve">205/55R16 HANKOOK RFT </t>
  </si>
  <si>
    <t>225/45R17 GY ASYM6</t>
  </si>
  <si>
    <t>225/45R17 NEXEN</t>
  </si>
  <si>
    <t>225/45R17 BRIDGSTONE T005</t>
  </si>
  <si>
    <t>265/50R19 HANKOOK RFT</t>
  </si>
  <si>
    <t>155/70R13 DEBICA</t>
  </si>
  <si>
    <t>205/55R16 MICHELIN P4+</t>
  </si>
  <si>
    <t>245/40R19 BRIDGESTONE RFT</t>
  </si>
  <si>
    <t>235/60R18 LAUFENN</t>
  </si>
  <si>
    <t>225/45R17 94Y MICHELIN PS5</t>
  </si>
  <si>
    <t>245/50R19 105W RFT MICHELIN LS3</t>
  </si>
  <si>
    <t>215/60R17 96V BRIDGESTONE DHPS</t>
  </si>
  <si>
    <t>215/60R17 MICHELIN P4</t>
  </si>
  <si>
    <t>225/45R17 94Y RFT HANKOOK K127</t>
  </si>
  <si>
    <t>205/50R17 93W RFT BRIDGESTONE</t>
  </si>
  <si>
    <t>215/65R17 HANKOOK</t>
  </si>
  <si>
    <t>205/55R16 LAUFENN</t>
  </si>
  <si>
    <t>235/60R18 BRIDGESTONE TURAZA ECO</t>
  </si>
  <si>
    <t>225/50R17 GOODYEAR ASYM3 RFT</t>
  </si>
  <si>
    <t>225/40R18 BRIDGESTONE TUR6</t>
  </si>
  <si>
    <t xml:space="preserve">205/50R17 LAUFENN </t>
  </si>
  <si>
    <t>225/55R18 BRIDGESTONE T006</t>
  </si>
  <si>
    <t xml:space="preserve">235/55R18 HANKOOK </t>
  </si>
  <si>
    <t>185/55R16 FIRESTONE</t>
  </si>
  <si>
    <t>225/45R17 MICHELIN PS4</t>
  </si>
  <si>
    <t>205/45R17 MICHELIN P4</t>
  </si>
  <si>
    <t>185/65R15 MICHELIN</t>
  </si>
  <si>
    <t>205/55R16 MICHELIN P3 ZP</t>
  </si>
  <si>
    <t>315/35R21 PIRELLI</t>
  </si>
  <si>
    <t>235/50R18 FALKEN</t>
  </si>
  <si>
    <t>205/60R16 BRIDGESTONE RFT</t>
  </si>
  <si>
    <t>225/55R18 MICHELIN P3</t>
  </si>
  <si>
    <t>225/50R18 MICHELIN ZP</t>
  </si>
  <si>
    <t>225/50R17 NEXEN</t>
  </si>
  <si>
    <t>245/45R17 BRIDGESTONE RFT T005</t>
  </si>
  <si>
    <t>245/45R19 LAUFENN</t>
  </si>
  <si>
    <t>225/45R19 FALKEN</t>
  </si>
  <si>
    <t>225/45R18 BRIDGESTONE POTENZA RFT</t>
  </si>
  <si>
    <t>235/55R18 MICHELIN</t>
  </si>
  <si>
    <t>205/55R17 PIRELLI</t>
  </si>
  <si>
    <t>245/45R19 BRIDGESTONE</t>
  </si>
  <si>
    <t>195/50R15 GOODYEAR</t>
  </si>
  <si>
    <t>205/60R16 BRIDGESTONE</t>
  </si>
  <si>
    <t xml:space="preserve">225/45R17 PIRELLI RFT </t>
  </si>
  <si>
    <t xml:space="preserve">215/65R17 HANKOOK </t>
  </si>
  <si>
    <t>225/45R17 CONTI SSR</t>
  </si>
  <si>
    <t>205/55R16 CONTI CPC2</t>
  </si>
  <si>
    <t>195/60R15 NEXEN</t>
  </si>
  <si>
    <t>245/45R17 HANKOOK</t>
  </si>
  <si>
    <t>CPIT OMAR</t>
  </si>
  <si>
    <t>225/50R17 CONTINENTAL PC6</t>
  </si>
  <si>
    <t xml:space="preserve">255/55R18 GY EFASYM SUV </t>
  </si>
  <si>
    <t>245/50R18 PIRELLI RFT</t>
  </si>
  <si>
    <t>175/65R14 GY EFGCOMP2</t>
  </si>
  <si>
    <t>245/45R20 PIRELLI PZERO</t>
  </si>
  <si>
    <t>225/45R19 BRIDGESTONE TUR6</t>
  </si>
  <si>
    <t>235/55R17 BRIDGESTONE TUR6</t>
  </si>
  <si>
    <t>225/65R17 GY</t>
  </si>
  <si>
    <t>205/55R17 GOODYEAR EFGPER</t>
  </si>
  <si>
    <t>245/45R18 BRIDGESTONE T005</t>
  </si>
  <si>
    <t>195/65R15 KLEBER</t>
  </si>
  <si>
    <t>225/40R18 HANKOOK K127</t>
  </si>
  <si>
    <t>255/55R19 BRIDGESTONE</t>
  </si>
  <si>
    <t>225/35R19 BRIDGESTONE RFT</t>
  </si>
  <si>
    <t>215/70R15C BRIDGESTONE</t>
  </si>
  <si>
    <t>245/45R18 PIRELLI P7 RFT</t>
  </si>
  <si>
    <t>225/55R17 BRIDGESTONE ER300 RFT</t>
  </si>
  <si>
    <t>195/50R16 CONTI ECO6</t>
  </si>
  <si>
    <t xml:space="preserve">255/60R17 MICHELIN </t>
  </si>
  <si>
    <t>215/55R17 PIRELLI</t>
  </si>
  <si>
    <t>195/75R16C CONTI AP</t>
  </si>
  <si>
    <t>225/50R17 PIRELLI RFT</t>
  </si>
  <si>
    <t>205/55R16 94V MICHELIN P4+</t>
  </si>
  <si>
    <t>145R13 AMINE</t>
  </si>
  <si>
    <t>225/55R18 BRIDGESTONE</t>
  </si>
  <si>
    <t>205/45R17 BRIDGESTONE T005</t>
  </si>
  <si>
    <t>215/50R18 BRIDGESTONE TUR6</t>
  </si>
  <si>
    <t>PNEUMATIQUE ESPACE EL KHALIL</t>
  </si>
  <si>
    <t>245/45R19 CONTINENTAL CSC5</t>
  </si>
  <si>
    <t>PNEUMATIQUE SOUSS</t>
  </si>
  <si>
    <t>225/55R18 HANKOOK K135</t>
  </si>
  <si>
    <t>225/60R17 BRIDGESTONE TUR6</t>
  </si>
  <si>
    <t>255/50R19 BRIDGESTONE POTENZA</t>
  </si>
  <si>
    <t>225/40R19 89Y BRIDGESTONE RFT</t>
  </si>
  <si>
    <t>255/35R19 NEXEN N'FERA</t>
  </si>
  <si>
    <t>225/45R19 HANKOOK</t>
  </si>
  <si>
    <t>255/55R19 GOODYEAR</t>
  </si>
  <si>
    <t>215/55R17 BRIDGESTONE TUR6</t>
  </si>
  <si>
    <t>235/65R17 PIRELLI SC VERDE</t>
  </si>
  <si>
    <t>185/60R15 GY EFGPER</t>
  </si>
  <si>
    <t>225/65R17 HANKOOK K135</t>
  </si>
  <si>
    <t>185/65R15 KLEBER</t>
  </si>
  <si>
    <t>245/45R18 GOODYEAR RFT</t>
  </si>
  <si>
    <t>205/55R16 MICHLIN</t>
  </si>
  <si>
    <t>225/45R17 CONTI CP</t>
  </si>
  <si>
    <t>205/55R16 MICHELI9N</t>
  </si>
  <si>
    <t>215/40R18 CONTINENTAL CSC5</t>
  </si>
  <si>
    <t>235/50R18 HANKOOK K135</t>
  </si>
  <si>
    <t>225/55R19 HANKOOK K125</t>
  </si>
  <si>
    <t>225/45R17 BRIDGESTONE TUR6</t>
  </si>
  <si>
    <t xml:space="preserve">205/55R16 MICHELIN </t>
  </si>
  <si>
    <t>225/60R18 CONTI UC</t>
  </si>
  <si>
    <t>195/65R15 HANKOOK</t>
  </si>
  <si>
    <t>215/55R16 GOODYEAR EFGPER2</t>
  </si>
  <si>
    <t>195/60R15 CONTINENTAL</t>
  </si>
  <si>
    <t>235/55R17 GY EFG</t>
  </si>
  <si>
    <t>205/55R16 PIRELLI</t>
  </si>
  <si>
    <t>255/45R19 PIRELLI</t>
  </si>
  <si>
    <t>195/50R15 HANKOOK</t>
  </si>
  <si>
    <t>225/60R17 NEXEN</t>
  </si>
  <si>
    <t>245/45R19 GY ASYM6</t>
  </si>
  <si>
    <t>195/55R16 FIRESTONE</t>
  </si>
  <si>
    <t>255/35R19 CONTI SSR</t>
  </si>
  <si>
    <t>225/40R19 CONTI SSR</t>
  </si>
  <si>
    <t>225/40R18 GY RFT</t>
  </si>
  <si>
    <t>ATTACHAROK</t>
  </si>
  <si>
    <t>225/55R17 MICHELIN ZP</t>
  </si>
  <si>
    <t>235/55R19 PIRELLI SC VEDE MO</t>
  </si>
  <si>
    <t>215/65R16 GOODYEAR 102H</t>
  </si>
  <si>
    <t>165/60R14 PETLAS</t>
  </si>
  <si>
    <t>245/45R20 BRIDGESTONE</t>
  </si>
  <si>
    <t>205/45R17 NEXEN</t>
  </si>
  <si>
    <t>225/50R17 HANKOOK</t>
  </si>
  <si>
    <t>255/40R20 CONTINENTAL</t>
  </si>
  <si>
    <t xml:space="preserve">255/40R20 CONTINENTAL </t>
  </si>
  <si>
    <t>225/40R19 CONTINENTAL RFT</t>
  </si>
  <si>
    <t>225/40R19 PIRELLI RFT</t>
  </si>
  <si>
    <t>245/45R18 100Y HANKOOK</t>
  </si>
  <si>
    <t xml:space="preserve">205/55R16 CONTINENTAL </t>
  </si>
  <si>
    <t>195/55R20 CONTINENTAL</t>
  </si>
  <si>
    <t xml:space="preserve">195/55R16 CONTINENTAL </t>
  </si>
  <si>
    <t>245/40R18 CONTINENTAL</t>
  </si>
  <si>
    <t xml:space="preserve">225/40R19 CONTINENTAL </t>
  </si>
  <si>
    <t>195/55R16 CONTINENTAL</t>
  </si>
  <si>
    <t xml:space="preserve">215/60R16 BRIDGESTONE </t>
  </si>
  <si>
    <t xml:space="preserve">225/55R17 BRIDGESTONE </t>
  </si>
  <si>
    <t>205/55R16 MICHELIN</t>
  </si>
  <si>
    <t xml:space="preserve">225/45R17 PIRELLI </t>
  </si>
  <si>
    <t xml:space="preserve">225/55R17 PIRELLI </t>
  </si>
  <si>
    <t xml:space="preserve">215/70R16 HANKOOK </t>
  </si>
  <si>
    <t>265/60R18 GOOD YEAR</t>
  </si>
  <si>
    <t>ABDELWAHED TACHAROUK</t>
  </si>
  <si>
    <t>185/65R15 NEXEN</t>
  </si>
  <si>
    <t>225/55R17 BRIDGESTONE RFT</t>
  </si>
  <si>
    <t xml:space="preserve">275/50R20 PIRELLI </t>
  </si>
  <si>
    <t xml:space="preserve">195/50R16 NEXEN </t>
  </si>
  <si>
    <t xml:space="preserve">205/55R17 CONTINENTAL </t>
  </si>
  <si>
    <t xml:space="preserve">155/65R14 NEXEN </t>
  </si>
  <si>
    <t>185/60R15 GOOD YEAR</t>
  </si>
  <si>
    <t>195/50R15 CONTINENTAL</t>
  </si>
  <si>
    <t xml:space="preserve">215/55R16 GOOD YEAR </t>
  </si>
  <si>
    <t>205/55R16 PIRELLI RFT</t>
  </si>
  <si>
    <t>205/55R17 CONTI</t>
  </si>
  <si>
    <t>110/70R13 MICHELIN</t>
  </si>
  <si>
    <t>160/60R15 MICHELIN</t>
  </si>
  <si>
    <t>175/65R14 LAUFENN</t>
  </si>
  <si>
    <t>225/60R17 LAUFENN</t>
  </si>
  <si>
    <t>120/08/2024</t>
  </si>
  <si>
    <t>235/55R19 BRIDGESTONE DHPS</t>
  </si>
  <si>
    <t>185/55R16 NEXEN</t>
  </si>
  <si>
    <t>215/55R17 HANKOOK</t>
  </si>
  <si>
    <t>235/55R18 PIRELLI</t>
  </si>
  <si>
    <t>275/40R18 HANKOOK RFT</t>
  </si>
  <si>
    <t>235/45R17 NEXEN</t>
  </si>
  <si>
    <t>225/50R17 DUNLOP</t>
  </si>
  <si>
    <t>225/40R18 BRIDGESTONE T005</t>
  </si>
  <si>
    <t>255/45R20 CONTINENTAL CP6</t>
  </si>
  <si>
    <t>205/55R16 GOOD YEAR</t>
  </si>
  <si>
    <t>275/45R19 CONTI 4X4</t>
  </si>
  <si>
    <t xml:space="preserve">205/55R16 NEXEN </t>
  </si>
  <si>
    <t xml:space="preserve">225/45R17 HANKOOK </t>
  </si>
  <si>
    <t>185/60R14 GOOD YEAR</t>
  </si>
  <si>
    <t xml:space="preserve">185/65R15 BRIDGESTONE </t>
  </si>
  <si>
    <t>205/50R17 CONTINENTAL PC6</t>
  </si>
  <si>
    <t>225/50R17 GY</t>
  </si>
  <si>
    <t>205/55R16 GY EFGPER2</t>
  </si>
  <si>
    <t>GUELIZ PNEUS</t>
  </si>
  <si>
    <t>195/50R16 FIRSTONE</t>
  </si>
  <si>
    <t>225/45R18 PIRELLI RFT P7</t>
  </si>
  <si>
    <t>225/45R17 PIRELI</t>
  </si>
  <si>
    <t xml:space="preserve">205/55R16 GOOD YEAR </t>
  </si>
  <si>
    <t>195/50R16 NEXEN</t>
  </si>
  <si>
    <t>235/60R17 BRIDGESTONE</t>
  </si>
  <si>
    <t>235/50R19 PIRELLI</t>
  </si>
  <si>
    <t>235/40R19 PIRELLI</t>
  </si>
  <si>
    <t>195/55R20 PIRELLI</t>
  </si>
  <si>
    <t>215/65R16 GOODYEAR</t>
  </si>
  <si>
    <t>PAYER 5000DH ET PAYE 2440DH+1400 GALETTE 27/08/2024</t>
  </si>
  <si>
    <t>195/50R15 CONTI</t>
  </si>
  <si>
    <t>255/50R19 BRIDGESTONE TUR6</t>
  </si>
  <si>
    <t>235/60R17 HANKOOK</t>
  </si>
  <si>
    <t>PAR BARIDCASH</t>
  </si>
  <si>
    <t>235/45R17 HANKOOK</t>
  </si>
  <si>
    <t>255/40R17 CONTINENTAL RFT</t>
  </si>
  <si>
    <t>235/55R17 HANKOOK K135</t>
  </si>
  <si>
    <t>195/55R16 LAUFENN</t>
  </si>
  <si>
    <t xml:space="preserve">195/55R20 GITI </t>
  </si>
  <si>
    <t xml:space="preserve">225/40R19 BRIDGESTONE RFT </t>
  </si>
  <si>
    <t>BRAHIM ATTACHAROK</t>
  </si>
  <si>
    <t>215/50R18 BRIDGESTONE</t>
  </si>
  <si>
    <t>255/35R19 BRIDGESTONE T005</t>
  </si>
  <si>
    <t>185/65R15 GOODYEAR</t>
  </si>
  <si>
    <t xml:space="preserve">175R14C HANKOOK </t>
  </si>
  <si>
    <t>245/40R18 SAVA</t>
  </si>
  <si>
    <t>225/55R17 BRIDGESTONE RFT ER300</t>
  </si>
  <si>
    <t>235/45R17 CONTINENTAL PC7</t>
  </si>
  <si>
    <t>215/55R17 BRIDGESTONE TUR 6</t>
  </si>
  <si>
    <t>195/65R15 GOODYEAR EFF COMPACT 2</t>
  </si>
  <si>
    <t>235/60R18 PIRELLI SC VERDE 103V</t>
  </si>
  <si>
    <t>215/60R17 KELBER</t>
  </si>
  <si>
    <t>235/45R17 HANKOOK K135</t>
  </si>
  <si>
    <t>215/55R16 HANKOOK k135</t>
  </si>
  <si>
    <t>195/65R15 BRIDGETONE</t>
  </si>
  <si>
    <t xml:space="preserve">235/55R19 HANKOOK </t>
  </si>
  <si>
    <t>205/55R15 CONTI</t>
  </si>
  <si>
    <t>235/60R18 BRIDGESTONE</t>
  </si>
  <si>
    <t>255/50R19 GY ROF</t>
  </si>
  <si>
    <t>225/45R17 CONTINENTAL PC7</t>
  </si>
  <si>
    <t>215/65R16 KLEBER</t>
  </si>
  <si>
    <t>235/55R19 CONTINENTAL CROSS</t>
  </si>
  <si>
    <t>205/55R16 BRIDGESTONE T005</t>
  </si>
  <si>
    <t>185/55R15 GY</t>
  </si>
  <si>
    <t>225/40R18 CONTINENTAL CSC5</t>
  </si>
  <si>
    <t>225/45R17 HANKOOK RFT</t>
  </si>
  <si>
    <t>255/40R20 BRIDGESTONE S001</t>
  </si>
  <si>
    <t>245/45R20 MICHELIN LAT TOUR</t>
  </si>
  <si>
    <t>245/45R20 BRIDGESTONE TUR6</t>
  </si>
  <si>
    <t>225/50R17 GY RFT</t>
  </si>
  <si>
    <t>215/65R17 MICHELIN P4</t>
  </si>
  <si>
    <t xml:space="preserve">225/50R18 MICHELIN ZP </t>
  </si>
  <si>
    <t>195/60R16 GY</t>
  </si>
  <si>
    <t>225/45R18 FIRESTONE</t>
  </si>
  <si>
    <t>255/40R21 BRIDGESTONE TUR6</t>
  </si>
  <si>
    <t>205/55R16 GY</t>
  </si>
  <si>
    <t>225/45R18 BRIDGESTONE TUR6</t>
  </si>
  <si>
    <t>195/55R16 GY</t>
  </si>
  <si>
    <t>215/40R18 RFT CONTINENTAL</t>
  </si>
  <si>
    <t>235/55R18 GOODYEAR</t>
  </si>
  <si>
    <t>235/35R19 MICHELIN</t>
  </si>
  <si>
    <t>235/60R18 GOODYEAR ASY5</t>
  </si>
  <si>
    <t>120/70R12 MICHELIN</t>
  </si>
  <si>
    <t>150/70R13 MICHELIN</t>
  </si>
  <si>
    <t>205/45R17 BFGOODRICH</t>
  </si>
  <si>
    <t>215/65R16 BFGOODRICH</t>
  </si>
  <si>
    <t>235/55R17 LAUFENN</t>
  </si>
  <si>
    <t>225/65R17 LAUFENN</t>
  </si>
  <si>
    <t>185/65R15 GOODYEAR EFGCOM2</t>
  </si>
  <si>
    <t>235/65R17 NEXEN</t>
  </si>
  <si>
    <t>265/40R21 PIRELLI PZERO NO</t>
  </si>
  <si>
    <t>255/35R19 MICHELIN PS5</t>
  </si>
  <si>
    <t>225/40R19 MICHELIN PS4</t>
  </si>
  <si>
    <t>235/55R18 GOODYEAR ASYM5</t>
  </si>
  <si>
    <t xml:space="preserve">225/55R16 FALKEN </t>
  </si>
  <si>
    <t>235/35R19 BRIDGSTONE TUR6</t>
  </si>
  <si>
    <t>235/60R18 PIRELLI</t>
  </si>
  <si>
    <t>PNEUMATIQUE ARRACHIDIA</t>
  </si>
  <si>
    <t>225/60R18 NEXEN</t>
  </si>
  <si>
    <t>165/70R14 NEXEN</t>
  </si>
  <si>
    <t>175/65R14 GOODYEAR</t>
  </si>
  <si>
    <t xml:space="preserve">225/50R17 NEXEN </t>
  </si>
  <si>
    <t xml:space="preserve">195/55R16 PIRELLI RFT </t>
  </si>
  <si>
    <t>205/55R16 HANKOOK RFT</t>
  </si>
  <si>
    <t>225/45R18 GOODYEAR RFT</t>
  </si>
  <si>
    <t xml:space="preserve">225/50R17 HANKOOK K117 </t>
  </si>
  <si>
    <t>235/40R19 BRIDGESTONE POTENZA</t>
  </si>
  <si>
    <t>14/6/0224</t>
  </si>
  <si>
    <t>195/50R16 FIRESTONE</t>
  </si>
  <si>
    <t>16/7/0204</t>
  </si>
  <si>
    <t xml:space="preserve">225/60R17 HANKOOK </t>
  </si>
  <si>
    <t>PAR AHMED A SALE</t>
  </si>
  <si>
    <t>225/65R17 HANKOOK RA33</t>
  </si>
  <si>
    <t xml:space="preserve">215/65R16 FIRSTONE </t>
  </si>
  <si>
    <t>225/40R18 MICHELIN PS4</t>
  </si>
  <si>
    <t>205/55R16 GOODYEAR EFGPER 2</t>
  </si>
  <si>
    <t>225/55R16 NEXEN</t>
  </si>
  <si>
    <t>215/65R16 FALKEN</t>
  </si>
  <si>
    <t xml:space="preserve">235/60R18 PIRELLI </t>
  </si>
  <si>
    <t>245/40R19 GOODYEAR</t>
  </si>
  <si>
    <t>205/55R16 WATERFALL</t>
  </si>
  <si>
    <t xml:space="preserve">235/65R17 PIRELLI </t>
  </si>
  <si>
    <t>215/65R17 CONTI CP7</t>
  </si>
  <si>
    <t>195/50R15 LAUFENN</t>
  </si>
  <si>
    <t>225/50R17 DUNLOP RFT</t>
  </si>
  <si>
    <t>225/40R18 CONTINENTAL SSR</t>
  </si>
  <si>
    <t>235/40R18 GOODYEAR</t>
  </si>
  <si>
    <t>235/65R17 LAUFENN</t>
  </si>
  <si>
    <t>215/55R18 MICHELIN</t>
  </si>
  <si>
    <t>235/50R18 DUNLOP RFT</t>
  </si>
  <si>
    <t>195/65R15 CONTINENTAL CEC6</t>
  </si>
  <si>
    <t>235/55R17 HANKOOK K135A</t>
  </si>
  <si>
    <t>225/65R17 BRIDGESTONE T005</t>
  </si>
  <si>
    <t>275/40R22 GENERAL</t>
  </si>
  <si>
    <t>225/45R17 CONTINENTAL SSR</t>
  </si>
  <si>
    <t>215/65R16 CONTINENTAL</t>
  </si>
  <si>
    <t>265/40R21 ZEETEX</t>
  </si>
  <si>
    <t>130/60R13 MICHLEIN CITY GRIP 2</t>
  </si>
  <si>
    <t>225/45R18 MICHELIN</t>
  </si>
  <si>
    <t>205/50R17 CONTI PC6</t>
  </si>
  <si>
    <t>235/40R18 GOODYEAR ASYM6</t>
  </si>
  <si>
    <t>235/50R18 CONTINENTAL SSR</t>
  </si>
  <si>
    <t xml:space="preserve">215/65R16 FIRESTONE </t>
  </si>
  <si>
    <t>165/60R14 NEXEN</t>
  </si>
  <si>
    <t>265/70R15 CONTINENTAL ATR</t>
  </si>
  <si>
    <t>235/50R19 HANKOOK K117A</t>
  </si>
  <si>
    <t xml:space="preserve">185/65R15 MICHELIN </t>
  </si>
  <si>
    <t>205/55R16 BRIDGESTONE T005 RFT</t>
  </si>
  <si>
    <t>185/65R15 WATERFALL</t>
  </si>
  <si>
    <t>195/65R15 CONTINENTAL ECO6</t>
  </si>
  <si>
    <t>235/50R19 PIRELLI PZERO VOL</t>
  </si>
  <si>
    <t xml:space="preserve">195/65R15 MICHELIN </t>
  </si>
  <si>
    <t>175/65R15 NEXEN</t>
  </si>
  <si>
    <t>205R14C MATADOR</t>
  </si>
  <si>
    <t>245/45R18 HANKOOK</t>
  </si>
  <si>
    <t>205/60R16 HANKOOK K135</t>
  </si>
  <si>
    <t>245/40R17 BRIDGESTONE RFT</t>
  </si>
  <si>
    <t>255/70R18 BRIDGESTONE</t>
  </si>
  <si>
    <t>235/50R18 GOODYEAR</t>
  </si>
  <si>
    <t>225/50R17 GOODYERA RFT</t>
  </si>
  <si>
    <t xml:space="preserve">205/60R16 KLEBER </t>
  </si>
  <si>
    <t>185/55R15 DUNLOP</t>
  </si>
  <si>
    <t>275/40R20 MICHELIN LAT SP3</t>
  </si>
  <si>
    <t>255/60R18 PIRELLI SC</t>
  </si>
  <si>
    <t>275/45R20 BRIDGESTONE DHPS</t>
  </si>
  <si>
    <t>235/60R18 MICHELIN</t>
  </si>
  <si>
    <t>215/55R16 LANDSAIL</t>
  </si>
  <si>
    <t>185/65R14 NEXEN</t>
  </si>
  <si>
    <t>245/35R20 MICHELIN ZP</t>
  </si>
  <si>
    <t>205/55R17 BRIDGESTONE T001</t>
  </si>
  <si>
    <t>175/65R14 MICHELIN</t>
  </si>
  <si>
    <t>285/70R17 BFG</t>
  </si>
  <si>
    <t>225/40R18 PIRELLI P7</t>
  </si>
  <si>
    <t xml:space="preserve">185/65R15 PIRELLI </t>
  </si>
  <si>
    <t>245/45R19 HANKOOK K117A</t>
  </si>
  <si>
    <t>235/35R19 BRIDGESTONE POTENZA</t>
  </si>
  <si>
    <t>225/40R18 CONTI ECO6</t>
  </si>
  <si>
    <t>215/65R17 MICHELIN</t>
  </si>
  <si>
    <t xml:space="preserve">265/70R15 CONTINENTAL </t>
  </si>
  <si>
    <t>225/50R18 BRIDGESTONE RFT</t>
  </si>
  <si>
    <t>245/40R19 BRIDGESTONE TUR6</t>
  </si>
  <si>
    <t>235/55R18 HANKOOK K125A</t>
  </si>
  <si>
    <t>235/40R18 BRIDGESTONE TUR6</t>
  </si>
  <si>
    <t>205/60R16 BRIDGESTONE TUR6</t>
  </si>
  <si>
    <t>205/55R17 BRIDGESTONE TUR6</t>
  </si>
  <si>
    <t>205/55R16 CONTINENTAL CP2</t>
  </si>
  <si>
    <t>245/40R19 GOODYEAR ASYM5</t>
  </si>
  <si>
    <t>205/55R16 GOODYEAR EFGPER2</t>
  </si>
  <si>
    <t>255/55R18 PIRELLI RFT</t>
  </si>
  <si>
    <t xml:space="preserve">215/60R17 HANKOOK </t>
  </si>
  <si>
    <t>205/45R17 PIRELLI RFT P7</t>
  </si>
  <si>
    <t>185/65R15 GOODYEAR EFGCOMP2</t>
  </si>
  <si>
    <t xml:space="preserve">185/65R14 GOODYEAR </t>
  </si>
  <si>
    <t xml:space="preserve">225/50R18 NEXEN </t>
  </si>
  <si>
    <t>245/75R16C WATERFALL</t>
  </si>
  <si>
    <t>285/40R20 CONTINENETAL CSC6</t>
  </si>
  <si>
    <t>245/45R19 HANKOOK</t>
  </si>
  <si>
    <t>275/45R21 BRIDGESTONE TUR6</t>
  </si>
  <si>
    <t xml:space="preserve">215/50R17 BRIDGESTONE </t>
  </si>
  <si>
    <t>215/60R17 CONTINENTAL ULTRACONTACT</t>
  </si>
  <si>
    <t>215/55R18 MIHCLEIN</t>
  </si>
  <si>
    <t>225/45R17 HANKOOK RFT K127B</t>
  </si>
  <si>
    <t xml:space="preserve">205/45R17 BRIDGESTONE </t>
  </si>
  <si>
    <t>235/35R19 BRIDGESTONE</t>
  </si>
  <si>
    <t>215/60R16 KLBER</t>
  </si>
  <si>
    <t>225/55R18 BRIDGESTONE TUR6</t>
  </si>
  <si>
    <t>225/45R17 BRIDGESTONE ALLSEASON</t>
  </si>
  <si>
    <t>AJALT ISSAM</t>
  </si>
  <si>
    <t>185/60R15 FALKEN</t>
  </si>
  <si>
    <t>205/45R17 FLAKEN</t>
  </si>
  <si>
    <t>165/70R13 LAUFEN</t>
  </si>
  <si>
    <t>225/55R17 97Y RFT PIRELLI CP7</t>
  </si>
  <si>
    <t>185/65R15 88T MICHELIN P4</t>
  </si>
  <si>
    <t>255/45R20 MICHELIN PS4</t>
  </si>
  <si>
    <t>255/40R19 LAUFENN</t>
  </si>
  <si>
    <t>295/35R21 GOODRIDE</t>
  </si>
  <si>
    <t>215/55R17 LAUFENN</t>
  </si>
  <si>
    <t xml:space="preserve">225/40R18 MICHELIN </t>
  </si>
  <si>
    <t>205/60R16 NEXEN</t>
  </si>
  <si>
    <t>205/65R16C LAUFENN</t>
  </si>
  <si>
    <t>215/45R17 PIRELLI</t>
  </si>
  <si>
    <t>225/60R17 BRIDGESTONE</t>
  </si>
  <si>
    <t>245/45R19 CONTINENTAL SC7</t>
  </si>
  <si>
    <t xml:space="preserve">215/60R17 BRIDGESTONE </t>
  </si>
  <si>
    <t>225/45R18 BRIDGESTONE</t>
  </si>
  <si>
    <t>HOUARI</t>
  </si>
  <si>
    <t>245/45R18 PRELLI</t>
  </si>
  <si>
    <t>195/65R15 HANKOOK K125</t>
  </si>
  <si>
    <t>205/45R16 NEXEN</t>
  </si>
  <si>
    <t xml:space="preserve">225/55R18 BRIDGESTONE TUR6 </t>
  </si>
  <si>
    <t>235/55R18 HANKOOK K117A</t>
  </si>
  <si>
    <t>225/50R18 HANKOOK K117B RFT</t>
  </si>
  <si>
    <t>195/50R15 FALKEN</t>
  </si>
  <si>
    <t>205/60R16 PIRELLI P7 RFT</t>
  </si>
  <si>
    <t>215/60R17 BRIDGESTONE DHPS</t>
  </si>
  <si>
    <t>255/50R19 LAUFENN</t>
  </si>
  <si>
    <t>205/55R17 GOODYEAR</t>
  </si>
  <si>
    <t>245/45R17 LAUFENN</t>
  </si>
  <si>
    <t>215/55R16 WATERFALL</t>
  </si>
  <si>
    <t>235/55R18 HANKOOK</t>
  </si>
  <si>
    <t>255/60R17 BRIDGESTONE TUR6</t>
  </si>
  <si>
    <t>225/55R16 FLAKEN</t>
  </si>
  <si>
    <t>275/40R19 BRIDGESTONE S001 RFT</t>
  </si>
  <si>
    <t>215/75R15 CONTI ATR</t>
  </si>
  <si>
    <t>215/60R17 BRIDGESTONE TUR6</t>
  </si>
  <si>
    <t>185/55R15 FIRESTONE</t>
  </si>
  <si>
    <t>235/65R17 BRIDGESTONE TUR6</t>
  </si>
  <si>
    <t>225/45R19 NEXEN</t>
  </si>
  <si>
    <t>195/60R15 BRIDGESTONE T005</t>
  </si>
  <si>
    <t>225/55R18 HANKOOK K135A</t>
  </si>
  <si>
    <t xml:space="preserve">185/60R15 GY </t>
  </si>
  <si>
    <t>225/40R18 MICHELIN P4+</t>
  </si>
  <si>
    <t>245/45R19 BRIDGSTONE T005</t>
  </si>
  <si>
    <t xml:space="preserve">185/65R15 FIRESTONE </t>
  </si>
  <si>
    <t>255/45R20 BRID RFT</t>
  </si>
  <si>
    <t>225/45R18 PIRELLI RFT</t>
  </si>
  <si>
    <t>195/55R16 CONTI ECO6</t>
  </si>
  <si>
    <t xml:space="preserve">215/55R16 FALKEN </t>
  </si>
  <si>
    <t>205/55R16 GOODYEAR</t>
  </si>
  <si>
    <t xml:space="preserve">235/65R18 BRIDGESTONE </t>
  </si>
  <si>
    <t xml:space="preserve">235/40R19 MICHELIN </t>
  </si>
  <si>
    <t xml:space="preserve">255/60R17 NEXEN </t>
  </si>
  <si>
    <t>205/65R15 BRIDGESTONE T005</t>
  </si>
  <si>
    <t>225/40R19 GOODYEAR ASYM5</t>
  </si>
  <si>
    <t>275/40R20 KUMHO</t>
  </si>
  <si>
    <t>BEN AICHA</t>
  </si>
  <si>
    <t>255/40R20 PIRELLI SC V S-I</t>
  </si>
  <si>
    <t>245/40R19 BRIDGESTPONE T005 RFT</t>
  </si>
  <si>
    <t xml:space="preserve">195/65R15 CONTINENTAL </t>
  </si>
  <si>
    <t>205/55R16 CONTI CP2</t>
  </si>
  <si>
    <t>225/45R17 HANKOOK K127 RFT</t>
  </si>
  <si>
    <t>275/40R21 HANKOOK K137A</t>
  </si>
  <si>
    <t>205/60R16</t>
  </si>
  <si>
    <t>225/45R18 BRIDGESTONE T005 RFT</t>
  </si>
  <si>
    <t>185/65R15 GOODYEAR ES 2</t>
  </si>
  <si>
    <t xml:space="preserve">205/65R16 BRIDGESTONE </t>
  </si>
  <si>
    <t>325/35R22 PIRELLI</t>
  </si>
  <si>
    <t>195/55R16 NEXEN</t>
  </si>
  <si>
    <t>185/65R15 GITI</t>
  </si>
  <si>
    <t xml:space="preserve">235/45R17 MICHELIN </t>
  </si>
  <si>
    <t xml:space="preserve">195/55R16 BRIDGESTONE </t>
  </si>
  <si>
    <t>245/40R19 BRIDGESTONE T005</t>
  </si>
  <si>
    <t>185/65R15 HANKOOK K435</t>
  </si>
  <si>
    <t>205/60R16 BRIDGESTONE RFT T005</t>
  </si>
  <si>
    <t>235/60R17 GOODYEAR</t>
  </si>
  <si>
    <t>205/55R16 KLEBER</t>
  </si>
  <si>
    <t>235/35R19 GOODYEAR</t>
  </si>
  <si>
    <t>185/65R15 LAUFENN</t>
  </si>
  <si>
    <t>225/50R17 MICHELIN ZP</t>
  </si>
  <si>
    <t>285/40R22 BRIDGESTONE</t>
  </si>
  <si>
    <t>195/55R16 CONTI</t>
  </si>
  <si>
    <t>225/40R18 MICHELIN</t>
  </si>
  <si>
    <t>215/55R16 FALKEN</t>
  </si>
  <si>
    <t>195/55R16 HANKOOK K135</t>
  </si>
  <si>
    <t>215/65R15C MABOR</t>
  </si>
  <si>
    <t>225/65R17 HANDOOK</t>
  </si>
  <si>
    <t>195/50R15 CONTI ULTRA CONTACT</t>
  </si>
  <si>
    <t>215/65R16 CONTINENTAL CRSS LX2</t>
  </si>
  <si>
    <t>225/40R19 RFT BRIDGESTONE T005</t>
  </si>
  <si>
    <t>275/40R22 SAILUN</t>
  </si>
  <si>
    <t xml:space="preserve">275/40R22 SAILUN </t>
  </si>
  <si>
    <t>235/65R17 PIRELLI</t>
  </si>
  <si>
    <t>205/55R16 GISLAVED</t>
  </si>
  <si>
    <t>225/45R17 BRIDGESTONE</t>
  </si>
  <si>
    <t>215/40R17 BRIDGESTONE TUR6</t>
  </si>
  <si>
    <t>225/40R18 CONTI SSR</t>
  </si>
  <si>
    <t>215/45R17 HANKOOK</t>
  </si>
  <si>
    <t xml:space="preserve">235/50R18 BRIDGESTONE </t>
  </si>
  <si>
    <t>195/65R15 GOODYEAR</t>
  </si>
  <si>
    <t>225/45R18 BRIDGESTONE RFT</t>
  </si>
  <si>
    <t>205/50R17 BRIDGESTONE TUR6</t>
  </si>
  <si>
    <t>195/55R16 BRIDGESTONE</t>
  </si>
  <si>
    <t>235/40R19 BRIDGESTONE S001</t>
  </si>
  <si>
    <t>245/40R20 BRIDGESTONE S001 RFT</t>
  </si>
  <si>
    <t>205/50R17 LAUFENN</t>
  </si>
  <si>
    <t xml:space="preserve">215/60R17 NEXEN </t>
  </si>
  <si>
    <t>225/45R17 KLEBER</t>
  </si>
  <si>
    <t>205/45R17 BRIDGESTONE</t>
  </si>
  <si>
    <t>245/35R20 GY RFT</t>
  </si>
  <si>
    <t>185/65R15 WEST LAKE</t>
  </si>
  <si>
    <t>205/60R16 PIRELLI RFT</t>
  </si>
  <si>
    <t>215/60R17 MICHELIN P5</t>
  </si>
  <si>
    <t xml:space="preserve">205/50R17 BRIDGESTONE </t>
  </si>
  <si>
    <t>205/65R15 NEXEN</t>
  </si>
  <si>
    <t>205/55R16 BRIDGESTONE RFT</t>
  </si>
  <si>
    <t>225/55R18 MICHELIN P4+</t>
  </si>
  <si>
    <t>285/35R22 PIRELLI</t>
  </si>
  <si>
    <t>215/70R16 HANKOOK</t>
  </si>
  <si>
    <t>195/55R16 SEHA</t>
  </si>
  <si>
    <t>205/55R17 CONTINENTAL</t>
  </si>
  <si>
    <t xml:space="preserve">235/50R18 DUNLOP RFT </t>
  </si>
  <si>
    <t>215/50R17 WATERFALL</t>
  </si>
  <si>
    <t>225/45R17 GISLAVED</t>
  </si>
  <si>
    <t>165/60R14 FALKEN</t>
  </si>
  <si>
    <t>245/70R16 HANKOOK</t>
  </si>
  <si>
    <t>195/50R16 LAUFENN</t>
  </si>
  <si>
    <t>185/60R14 GOODYEAR</t>
  </si>
  <si>
    <t>RETOUR LE 25/04/2025</t>
  </si>
  <si>
    <t>180/55R17 MICHELIN</t>
  </si>
  <si>
    <t>ESPACE ZERQTOUNI</t>
  </si>
  <si>
    <t xml:space="preserve">195/60R15 BRIDGESTONE </t>
  </si>
  <si>
    <t>195/60R15 WATERFALL</t>
  </si>
  <si>
    <t xml:space="preserve">225/60R17 BRIDGESTONE </t>
  </si>
  <si>
    <t>185/60R14 LAUFENN</t>
  </si>
  <si>
    <t>205/50R17 BRIDGESTONE</t>
  </si>
  <si>
    <t>255/40R20 HANKOOK</t>
  </si>
  <si>
    <t>235/65R17 HANKOOK K117A</t>
  </si>
  <si>
    <t>235/55R18 BRIDGESTONE</t>
  </si>
  <si>
    <t>205/40R17 PIRELLI</t>
  </si>
  <si>
    <t>235/55R17 BRIDGESTONE</t>
  </si>
  <si>
    <t>205/75R16C CONTI</t>
  </si>
  <si>
    <t>225/40R18 PIRELLI</t>
  </si>
  <si>
    <t>235/40R18 MICHELIN PS5</t>
  </si>
  <si>
    <t>285/40R22 HANKOOK</t>
  </si>
  <si>
    <t>185/65R15 BRIDGESTONE</t>
  </si>
  <si>
    <t>185/55R15 WATERFAL</t>
  </si>
  <si>
    <t xml:space="preserve">225/40R18 NEXEN </t>
  </si>
  <si>
    <t>225/55R18 HANKOOK K127</t>
  </si>
  <si>
    <t>275/35R20 BRIDGESTONE RFT</t>
  </si>
  <si>
    <t>225/40R18 CONTINENTAL SSR ECO6</t>
  </si>
  <si>
    <t>195/55R16 GOODYEAR</t>
  </si>
  <si>
    <t xml:space="preserve">205/50R17 PIRELLI </t>
  </si>
  <si>
    <t xml:space="preserve">195/55R16 CONTINENTAL ECO6 </t>
  </si>
  <si>
    <t>215/50R17 LAUFENN</t>
  </si>
  <si>
    <t>235/55R19 NEXEN</t>
  </si>
  <si>
    <t>215/65R16 HANKOOK</t>
  </si>
  <si>
    <t xml:space="preserve">255/45R20 BRIDGESTONE </t>
  </si>
  <si>
    <t>235/55R19 BRIDGESTONE</t>
  </si>
  <si>
    <t>195/55R16 CONTINENTAL ECO6</t>
  </si>
  <si>
    <t>265/40R21 ROTALLA</t>
  </si>
  <si>
    <t>225/40R19 GOODYEAR</t>
  </si>
  <si>
    <t>235/60R18 PIRELLI AS</t>
  </si>
  <si>
    <t>225/40R18 BRIDGESTONR</t>
  </si>
  <si>
    <t>185/55R15 GOODYEAR</t>
  </si>
  <si>
    <t>205/55R17 FIRESTONE</t>
  </si>
  <si>
    <t>225/55R17 TRACMAX</t>
  </si>
  <si>
    <t>245/35R20 LAUFENN</t>
  </si>
  <si>
    <t>195/55R16 CONTINENTAL ECO5</t>
  </si>
  <si>
    <t xml:space="preserve">195/60R15 NEXEN </t>
  </si>
  <si>
    <t xml:space="preserve">235/40R18 BRIDGESTONE </t>
  </si>
  <si>
    <t xml:space="preserve">195/50R16 FIRESTONE </t>
  </si>
  <si>
    <t>215/75R16C GISLAVED</t>
  </si>
  <si>
    <t xml:space="preserve">215/65R16 GY </t>
  </si>
  <si>
    <t>225/40R18 HANKOOK</t>
  </si>
  <si>
    <t>205/7015C CONTI</t>
  </si>
  <si>
    <t xml:space="preserve">235/35R19 MICHELIN </t>
  </si>
  <si>
    <t xml:space="preserve">225/45R18 BRIDGESTONE  RFT </t>
  </si>
  <si>
    <t>195/60R15 GOODYEAR</t>
  </si>
  <si>
    <t>265/70R16 BRIDGESTONE</t>
  </si>
  <si>
    <t xml:space="preserve">235/40R19 BRIDGESTONE </t>
  </si>
  <si>
    <t>195/50R15 NEXEN</t>
  </si>
  <si>
    <t xml:space="preserve">215/55R17 LAUFENN </t>
  </si>
  <si>
    <t>155/80R13 LAUFENN</t>
  </si>
  <si>
    <t>245/45R20 WATERFALL</t>
  </si>
  <si>
    <t xml:space="preserve">295/35R21 PIRELLI </t>
  </si>
  <si>
    <t>245/50R19 BRIDGESTONE RFT</t>
  </si>
  <si>
    <t>205/70R15C CONTINENTAL</t>
  </si>
  <si>
    <t>215/55R16 NEXEN</t>
  </si>
  <si>
    <t>225/50R17 94W RFT HANKOOOK</t>
  </si>
  <si>
    <t>245/45R17 99Y GISLAVED</t>
  </si>
  <si>
    <t>215/50R17 95Y DUNLOP</t>
  </si>
  <si>
    <t>195/55R16 87H LAUFENN</t>
  </si>
  <si>
    <t>225/45R18 95Y RFT BRIDGESTONE</t>
  </si>
  <si>
    <t>205/55R16 91H LAUFENN</t>
  </si>
  <si>
    <t>235/40R18 95Y BRIDGESTONE</t>
  </si>
  <si>
    <t>225/55R18 102Y BRIDGESTONE</t>
  </si>
  <si>
    <t>225/55R18 104V MICHELIN</t>
  </si>
  <si>
    <t>205/55R16 91W RFT HANKOOK</t>
  </si>
  <si>
    <t>175/60R15 HANKOOK</t>
  </si>
  <si>
    <t>215/60R17 DEBICA</t>
  </si>
  <si>
    <t>215/60R16 GOODYEAR</t>
  </si>
  <si>
    <t>235/65R17 HANKOOK</t>
  </si>
  <si>
    <t>215/60R17 BRIDGESTONE</t>
  </si>
  <si>
    <t>275/45R20 GISLAVED</t>
  </si>
  <si>
    <t>205/40R18 PIRELLI RFT</t>
  </si>
  <si>
    <t>225/40R18 GISLAVED</t>
  </si>
  <si>
    <t xml:space="preserve">215/65R16 CONTINENTAL </t>
  </si>
  <si>
    <t>215/65R16 LAUFENN</t>
  </si>
  <si>
    <t>225/60R18 HANKOOK RFT</t>
  </si>
  <si>
    <t>225/40R19 BRIDGESTONE RFT S001</t>
  </si>
  <si>
    <t>215/65R17 CONTINENTAL ECO6</t>
  </si>
  <si>
    <t>245/40R18 HANKOOK</t>
  </si>
  <si>
    <t>245/45R18 GOODYEAR</t>
  </si>
  <si>
    <t>225/65R17 CONTINENTAL</t>
  </si>
  <si>
    <t>AJALAT ISSAM</t>
  </si>
  <si>
    <t xml:space="preserve">245/45R18 HANKOOK RFT </t>
  </si>
  <si>
    <t xml:space="preserve">175/65R14 BRIDGESTONE </t>
  </si>
  <si>
    <t>MAROC INTERGOME</t>
  </si>
  <si>
    <t>225/55R18 HANKOOK K125</t>
  </si>
  <si>
    <t>205/50R17 MICHELIN</t>
  </si>
  <si>
    <t>225/45R19 92W RFT CONTINENTAL</t>
  </si>
  <si>
    <t xml:space="preserve">185/60R14 GOODYEAR </t>
  </si>
  <si>
    <t>205/50R17 CONTINENTAL</t>
  </si>
  <si>
    <t>215/55R17 BRIGESTONE</t>
  </si>
  <si>
    <t>245/40R18 MICHELIN PS5</t>
  </si>
  <si>
    <t>215/45R17 HANKOOOK</t>
  </si>
  <si>
    <t>225/45R17 FLAKEN</t>
  </si>
  <si>
    <t>225/50R17 CONTINENTAL CSC5</t>
  </si>
  <si>
    <t>205/55R17 NEXEN</t>
  </si>
  <si>
    <t>235/40R19 BRIDGESTONE TUR6+</t>
  </si>
  <si>
    <t>225/35R19 HANKOOK K127</t>
  </si>
  <si>
    <t xml:space="preserve">205/55R16 BRIDGESTONE </t>
  </si>
  <si>
    <t>245/40R18 BRIDGESTONE T005 RFT</t>
  </si>
  <si>
    <t xml:space="preserve">215/45R17 NEXEN </t>
  </si>
  <si>
    <t>275/45R21 PIRELLI SC VERDE</t>
  </si>
  <si>
    <t>195/55R16 BARUM</t>
  </si>
  <si>
    <t xml:space="preserve">205/60R16 GOODYEAR </t>
  </si>
  <si>
    <t>235/45R17 LAUFENN</t>
  </si>
  <si>
    <t>275/45R20 HANKOOK RFT</t>
  </si>
  <si>
    <t>235/35R19 CONTINENTAL</t>
  </si>
  <si>
    <t>225/45R17 DUNLOP</t>
  </si>
  <si>
    <t>225/45R17 BRIDGESTONE RFT</t>
  </si>
  <si>
    <t>165/70R13 LAUFENN</t>
  </si>
  <si>
    <t>245/45R17 NEXEN</t>
  </si>
  <si>
    <t>225/50R17 HANKOOK K125</t>
  </si>
  <si>
    <t>225/60R18 CONTINENTAL</t>
  </si>
  <si>
    <t>235/50R18 HANKOOK</t>
  </si>
  <si>
    <t>225/50R16 GOODYEAR</t>
  </si>
  <si>
    <t>215/70R15C GISLAVED</t>
  </si>
  <si>
    <t>255/45R18 HANKOOK</t>
  </si>
  <si>
    <t>205/55R16 NEXEN C</t>
  </si>
  <si>
    <t xml:space="preserve">265/40R21 PIRELLI </t>
  </si>
  <si>
    <t>225/60R17 PIREELI RFT</t>
  </si>
  <si>
    <t>235/55R17 FALKEN</t>
  </si>
  <si>
    <t>225/55R19 NEXEN</t>
  </si>
  <si>
    <t>225/60R18 BRIDGESTONE</t>
  </si>
  <si>
    <t>235/45R18 LAUFENN</t>
  </si>
  <si>
    <t>225/45R17 CONTINENTAL</t>
  </si>
  <si>
    <t xml:space="preserve">205/55R16 PIRELLI RFT </t>
  </si>
  <si>
    <t>245/45R18 NEXEN</t>
  </si>
  <si>
    <t>225/40R18 CONTINENTAL ECO6</t>
  </si>
  <si>
    <t>235/55R19 GOODYEAR</t>
  </si>
  <si>
    <t>225/45R19 BRIDGESTONE</t>
  </si>
  <si>
    <t>185/60R15 NEXE</t>
  </si>
  <si>
    <t>18/60R15 FALKEN</t>
  </si>
  <si>
    <t xml:space="preserve">215/55R16 MICHELIN </t>
  </si>
  <si>
    <t>175/70R13 WEST LAKE</t>
  </si>
  <si>
    <t>245/45R19 PIRELLI</t>
  </si>
  <si>
    <t>225/45R18 NEXEN</t>
  </si>
  <si>
    <t xml:space="preserve">205/45R17 CONTINENTAL </t>
  </si>
  <si>
    <t xml:space="preserve">275/45R20 PIRELLI </t>
  </si>
  <si>
    <t>245/40R18 GOODYEAR</t>
  </si>
  <si>
    <t xml:space="preserve">275/45R20 HANKOOK RFT </t>
  </si>
  <si>
    <t>205/50R17 GOODYEAR</t>
  </si>
  <si>
    <t>235/35R19 TRACMAX</t>
  </si>
  <si>
    <t>215/40R17 TRACMAX</t>
  </si>
  <si>
    <t>235/55R17 BRIDGESTONE DHPS</t>
  </si>
  <si>
    <t>TACHAROK</t>
  </si>
  <si>
    <t>235/60R17 NEXEN</t>
  </si>
  <si>
    <t>215/70R16 LAUFENN</t>
  </si>
  <si>
    <t>255/35R19 GY RFT</t>
  </si>
  <si>
    <t>15/08/2025</t>
  </si>
  <si>
    <t xml:space="preserve">225/55R18 MICHELIN </t>
  </si>
  <si>
    <t>14/08/2025</t>
  </si>
  <si>
    <t>225/50R17 MATADOR</t>
  </si>
  <si>
    <t>175/70R14 MICHELIN</t>
  </si>
  <si>
    <t>235/55R17 MICHELIN P5</t>
  </si>
  <si>
    <t>16/08/2025</t>
  </si>
  <si>
    <t>235/40R18 NEXEN F</t>
  </si>
  <si>
    <t>245/45R19 TRACMAX</t>
  </si>
  <si>
    <t>255/60R17 GOODYEAR</t>
  </si>
  <si>
    <t>245/45R18 PIRELLI RFT</t>
  </si>
  <si>
    <t>175/70R14 NEXEN</t>
  </si>
  <si>
    <t>225/65R17 BRIDGESTONE TURANZA 6</t>
  </si>
  <si>
    <t>255/55R19 PIRELLI</t>
  </si>
  <si>
    <t>235/45R18 GOODYEAR RFT</t>
  </si>
  <si>
    <t xml:space="preserve">235/55R19 MICHELIN </t>
  </si>
  <si>
    <t>245/35R19 NEXEN</t>
  </si>
  <si>
    <t>225/40R19 PIRELLI</t>
  </si>
  <si>
    <t>195/55R16 HANKOOK RFT</t>
  </si>
  <si>
    <t>265/70R16 FIRESTONE</t>
  </si>
  <si>
    <t>245/40R18 PIRELLI</t>
  </si>
  <si>
    <t xml:space="preserve">195/50R15 HANKOOK </t>
  </si>
  <si>
    <t xml:space="preserve">215/55R17 BRIDGESTONE </t>
  </si>
  <si>
    <t>195/50r15 hankook</t>
  </si>
  <si>
    <t>205/55R16 CONTINENTAL SSR</t>
  </si>
  <si>
    <t>235/60R16 LAUFENN</t>
  </si>
  <si>
    <t xml:space="preserve">195/55R16 KLEBER </t>
  </si>
  <si>
    <t>255/45R20 PIRELLI</t>
  </si>
  <si>
    <t>235/35R19 FALKEN</t>
  </si>
  <si>
    <t>215/50R18 TRACMAX</t>
  </si>
  <si>
    <t>195/55R16 TRACMAX</t>
  </si>
  <si>
    <t>245/45R17 CONTINENTAL</t>
  </si>
  <si>
    <t>145/70R13 KELLY</t>
  </si>
  <si>
    <t>225/45R17 FIRESTONE</t>
  </si>
  <si>
    <t>195/65R15 LAUFENN</t>
  </si>
  <si>
    <t xml:space="preserve">215/40R18 CONTINENTAL </t>
  </si>
  <si>
    <t>225/55R17 GOODYEAR</t>
  </si>
  <si>
    <t>185/70R14 NEXEN</t>
  </si>
  <si>
    <t>215/65R17 BRIDGESTONE</t>
  </si>
  <si>
    <t>255/35R18 BRIDGESTONE T005</t>
  </si>
  <si>
    <t>225/50R18 HANKOOK RFT</t>
  </si>
  <si>
    <t xml:space="preserve">225/45R18 HANKOOK </t>
  </si>
  <si>
    <t>255/65R16 HANKOOK</t>
  </si>
  <si>
    <t>225/60R17 PIRELLI RFT</t>
  </si>
  <si>
    <t>175/65R15 LAUFENN</t>
  </si>
  <si>
    <t>135/80R13 LAUFENN</t>
  </si>
  <si>
    <t>195/65R15 BRIDGESTONE</t>
  </si>
  <si>
    <t>225/65R17 BRIDGESTONE D685</t>
  </si>
  <si>
    <t xml:space="preserve">225/45R17 CONTINENTAL </t>
  </si>
  <si>
    <t>205/60R15 CONTINENTAL</t>
  </si>
  <si>
    <t>205/60R16 LAUFENN</t>
  </si>
  <si>
    <t>215/45R16 GISLAVED</t>
  </si>
  <si>
    <t>225/45R17 MICHELIN</t>
  </si>
  <si>
    <t>235/65R17 BRIDGESTONE</t>
  </si>
  <si>
    <t>225/50R17 CONTINENTAL SSR</t>
  </si>
  <si>
    <t>275/40R20 BARUM</t>
  </si>
  <si>
    <t>195/6515 MICHELIN</t>
  </si>
  <si>
    <t>255/35R20 NEXEN</t>
  </si>
  <si>
    <t>215/70R15C BRIDGETONE</t>
  </si>
  <si>
    <t>285/40R20 CONTINENTAL</t>
  </si>
  <si>
    <t xml:space="preserve">245/40R19 PIRELLI RFT </t>
  </si>
  <si>
    <t>245/45R19 BRIDGESTONE T005</t>
  </si>
  <si>
    <t>285/40R20 GALAXIA</t>
  </si>
  <si>
    <t>245/45R20 TRACMAX</t>
  </si>
  <si>
    <t>175/65R14 DUNLOP</t>
  </si>
  <si>
    <t>225/50R17 CONTINENTAL</t>
  </si>
  <si>
    <t>225/45R19 RFT BRIDGESTONE</t>
  </si>
  <si>
    <t>195/65R15 Goodyear</t>
  </si>
  <si>
    <t>195/55R20 HANKOOK</t>
  </si>
  <si>
    <t>225/45R17 RFT HANKOOK</t>
  </si>
  <si>
    <t xml:space="preserve">205/70R15C GISLAVED </t>
  </si>
  <si>
    <t>235/40R18 NEXEN</t>
  </si>
  <si>
    <t>265/65R17 DUNLOP</t>
  </si>
  <si>
    <t>215/65R17 GOODYEAR</t>
  </si>
  <si>
    <t>275/45R20 PIRELLI RFT</t>
  </si>
  <si>
    <t>255/30R19 PIRELLI</t>
  </si>
  <si>
    <t>205/70R15C PETLAS</t>
  </si>
  <si>
    <t>225/50R17 SSR CONTINENTAL</t>
  </si>
  <si>
    <t>225/50R17 RFT MICHELIN</t>
  </si>
  <si>
    <t>265/65R17 HANKOOK</t>
  </si>
  <si>
    <t>185/65R15 CONTINENTAL</t>
  </si>
  <si>
    <t>315/30R21 GOODRIDE</t>
  </si>
  <si>
    <t>225/60R18 BARUM</t>
  </si>
  <si>
    <t>255/55R19 SAVA</t>
  </si>
  <si>
    <t>205/40R17 LAUFENN</t>
  </si>
  <si>
    <t>215/45R18 GOODYEAR</t>
  </si>
  <si>
    <t>215/55R17 CONTINENTAL</t>
  </si>
  <si>
    <t>255/45R20 WEST LAKE</t>
  </si>
  <si>
    <t xml:space="preserve">100-80-14 MICHELIN </t>
  </si>
  <si>
    <t>100-90-14 MITAS</t>
  </si>
  <si>
    <t>MOTOS PLUS</t>
  </si>
  <si>
    <t>255/55R18 FIRESTONE</t>
  </si>
  <si>
    <t>225/55R19 HANKOOK</t>
  </si>
  <si>
    <t>255/45R20 GOODYEAR</t>
  </si>
  <si>
    <t>245/45R18 BRIDGESTONE T005 RFT</t>
  </si>
  <si>
    <t>225/45R17 GOODYEAR</t>
  </si>
  <si>
    <t xml:space="preserve">215/55R17 HANKOOK </t>
  </si>
  <si>
    <t>255/35R19 GOODYEAR RFT</t>
  </si>
  <si>
    <t>225/55R17 HABILEAD</t>
  </si>
  <si>
    <t>110/80-14 MITAS</t>
  </si>
  <si>
    <t>100/90-14 MITAS</t>
  </si>
  <si>
    <t>225/45R17 LAUFENN</t>
  </si>
  <si>
    <t xml:space="preserve">195/55R16 MICHELIN </t>
  </si>
  <si>
    <t>215/50R17 NEXEN</t>
  </si>
  <si>
    <t>215/40R17 BRIDGESTONE</t>
  </si>
  <si>
    <t xml:space="preserve">245/45R18 CONTINENTAL </t>
  </si>
  <si>
    <t>215/50R17 GOODYEAR</t>
  </si>
  <si>
    <t>205/60R16 RFT GOODYEAR</t>
  </si>
  <si>
    <t>225/55R16 BRIDGESTONE ER300A</t>
  </si>
  <si>
    <t>205/45R17 GOODYEAR</t>
  </si>
  <si>
    <t>225/40R18 GOODYEAR RFT</t>
  </si>
  <si>
    <t>225/45R18 MICHELIN ZP</t>
  </si>
  <si>
    <t>225/55R17 BRIDGESTONE</t>
  </si>
  <si>
    <t>245/45R18 MICHELIN PS4 ZP</t>
  </si>
  <si>
    <t>225/50R18 BRIDGESTONE T6</t>
  </si>
  <si>
    <t>165/60R14 DEBICA</t>
  </si>
  <si>
    <t>195/55R16 WATERFALL</t>
  </si>
  <si>
    <t>135/80R13 LAUEFNN</t>
  </si>
  <si>
    <t>235/50R18 DUNLOP</t>
  </si>
  <si>
    <t>275/40R22 NEXEN</t>
  </si>
  <si>
    <t>225/60R17 GOODYEAR</t>
  </si>
  <si>
    <t>225/50R17 HANKOOK RFT</t>
  </si>
  <si>
    <t xml:space="preserve">225/65R17 CONTINENTAL </t>
  </si>
  <si>
    <t>MARKET</t>
  </si>
  <si>
    <t>225/50R17 BRIDGESTONE T005 RFT</t>
  </si>
  <si>
    <t>195/55R16 PIRELLI</t>
  </si>
  <si>
    <t>165/65R14 FULDA</t>
  </si>
  <si>
    <t>195/45R16 NEXEN</t>
  </si>
  <si>
    <t>235/40R18 MICHELIN</t>
  </si>
  <si>
    <t xml:space="preserve">205/60R16 CONTINENTAL </t>
  </si>
  <si>
    <t>195/65R15 CONTINENTAL</t>
  </si>
  <si>
    <t>225/50R18 PIRELLI RFT</t>
  </si>
  <si>
    <t>195/60R15 BRIDGESTONE</t>
  </si>
  <si>
    <t>185/60R15 LAUFENN</t>
  </si>
  <si>
    <t>285/45R22 PIRELLI</t>
  </si>
  <si>
    <t>245/35R20 GOODYEAR RFT</t>
  </si>
  <si>
    <t>255/55R18 BRIDGESTONE</t>
  </si>
  <si>
    <t>225/55R18 PIRELLI</t>
  </si>
  <si>
    <t>245/40R19 PIRELLI</t>
  </si>
  <si>
    <t>255/60R17 HANKOOK</t>
  </si>
  <si>
    <t>205/55R16 GOODYEAR ES</t>
  </si>
  <si>
    <t>185/60R14 VOYAGER</t>
  </si>
  <si>
    <t>235/65R19 PIRELLI</t>
  </si>
  <si>
    <t>195/55R15 WATERFAL</t>
  </si>
  <si>
    <t>215/55R17 CONTINENTAL PC7</t>
  </si>
  <si>
    <t>205/65R15 GOODYEAR</t>
  </si>
  <si>
    <t>255/50R19 GOODYEAR RFT</t>
  </si>
  <si>
    <t>245/45R19 NEXEN</t>
  </si>
  <si>
    <t>255/40R21 BRIDGESTONE</t>
  </si>
  <si>
    <t>245/35R19 PIRELLI</t>
  </si>
  <si>
    <t>185/55R16 DUNLOP</t>
  </si>
  <si>
    <t>215/60R16 LAUFENN</t>
  </si>
  <si>
    <t>235/60R18 BRIDGESTONE DHPS</t>
  </si>
  <si>
    <t>205/60R16 WATERFAL</t>
  </si>
  <si>
    <t>215/65R17 PIRELLI</t>
  </si>
  <si>
    <t>205/55R16 DUNLOP</t>
  </si>
  <si>
    <t>225/45R19 GOODRIDE</t>
  </si>
  <si>
    <t>215/60R17 LAUFENN</t>
  </si>
  <si>
    <t>255/40R19 PIRELLI RFT</t>
  </si>
  <si>
    <t>245/40R19 WATERFALL</t>
  </si>
  <si>
    <t>185/65R15 NEXEX</t>
  </si>
  <si>
    <t>225/65R17 HANKOOK</t>
  </si>
  <si>
    <t>235/35R19 HANKOOK</t>
  </si>
  <si>
    <t>255/50R19 BRIDGESTONE</t>
  </si>
  <si>
    <t>235/55R19 MICHELIN PS4</t>
  </si>
  <si>
    <t>265/40R22 HANKOOK</t>
  </si>
  <si>
    <t>205/55R17 BRIDGESTONE</t>
  </si>
  <si>
    <t>225/50R18 GOODYEAR RFT</t>
  </si>
  <si>
    <t>245/40R18 BRIDGESTONE RFT</t>
  </si>
  <si>
    <t xml:space="preserve"> 225/55R19  NEXEN</t>
  </si>
  <si>
    <t>215/45R17 GOODYEAR</t>
  </si>
  <si>
    <t>185/65R15 WATERFAL</t>
  </si>
  <si>
    <t xml:space="preserve">205/55R16 LAUFEN </t>
  </si>
  <si>
    <t>175/70R14 CONTINENTAL</t>
  </si>
  <si>
    <t>235/65R16C CONTINENTAL</t>
  </si>
  <si>
    <t>110-80-14 MITAS</t>
  </si>
  <si>
    <t>MITAS</t>
  </si>
  <si>
    <t>225/70R15C BRIDGESTONE</t>
  </si>
  <si>
    <t>235/40R19 FALKEN</t>
  </si>
  <si>
    <t xml:space="preserve"> 225/45R17 NEXEN</t>
  </si>
  <si>
    <t>225/50R17 BRIDGESTONE</t>
  </si>
  <si>
    <t>165/65R14 NEXEN</t>
  </si>
  <si>
    <t>245/40R19 TRACMAX</t>
  </si>
  <si>
    <t xml:space="preserve">245/40R19 PIRELLI </t>
  </si>
  <si>
    <t xml:space="preserve">225/50R17 GOODYEAR </t>
  </si>
  <si>
    <t>CONTINENTAL 205/55R16</t>
  </si>
  <si>
    <t>245/70R16 TRACMAX</t>
  </si>
  <si>
    <t>185/60R15 WATERFALL</t>
  </si>
  <si>
    <t xml:space="preserve">225/55R18 BRIDGESTONE </t>
  </si>
  <si>
    <t>225/45R17 FALKEN</t>
  </si>
  <si>
    <t xml:space="preserve">245/45R18 GOODYEAR </t>
  </si>
  <si>
    <t xml:space="preserve">185/65R15 CONTINENTAL </t>
  </si>
  <si>
    <t xml:space="preserve">255/45R19 HANKOOK </t>
  </si>
  <si>
    <t xml:space="preserve">225/40R18 PIRELLI RFT </t>
  </si>
  <si>
    <t>215/65R16C NEXEN</t>
  </si>
  <si>
    <t>CPDM</t>
  </si>
  <si>
    <t xml:space="preserve">225/50R17 BRIDGESTONE </t>
  </si>
  <si>
    <t>225/70R15C CONTINENTAL</t>
  </si>
  <si>
    <t xml:space="preserve">215/50R18 BRIDGESTONE </t>
  </si>
  <si>
    <t>235/35R19 GOODRIDE</t>
  </si>
  <si>
    <t xml:space="preserve">205/60R16 WATERFALL </t>
  </si>
  <si>
    <t xml:space="preserve">235/55R18 BRIDGESTONE </t>
  </si>
  <si>
    <t>275/45R21 DUNLOP</t>
  </si>
  <si>
    <t>245/40R19 GAZELLE</t>
  </si>
  <si>
    <t>225/40R18 BRIDGESTONE S001 RFT</t>
  </si>
  <si>
    <t>235/55R18 PIRELLI RFT</t>
  </si>
  <si>
    <t>215/55R17 NEXEN</t>
  </si>
  <si>
    <t xml:space="preserve">185/65R15 GOODYEAR </t>
  </si>
  <si>
    <t xml:space="preserve">245/40R18 PIRELLI </t>
  </si>
  <si>
    <t>215/55R16 KLEBER</t>
  </si>
  <si>
    <t xml:space="preserve">225/45R18 CONTINENTAL </t>
  </si>
  <si>
    <t>225/45R19 BRIDGSTONE RFT</t>
  </si>
  <si>
    <t xml:space="preserve">245/45R20 BRIDGESTONE </t>
  </si>
  <si>
    <t>215/40R18 CONTINENTAL</t>
  </si>
  <si>
    <t xml:space="preserve">275/45R21 CONTINENTAL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</si>
</sst>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d/mm/yyyy"/>
  </numFmts>
  <fonts count="8">
    <font>
      <sz val="11.0"/>
      <color theme="1"/>
      <name val="Calibri"/>
      <scheme val="minor"/>
    </font>
    <font>
      <sz val="20.0"/>
      <color rgb="FFFFFFFF"/>
      <name val="Calibri"/>
    </font>
    <font>
      <sz val="20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E7E6E6"/>
        <bgColor rgb="FFE7E6E6"/>
      </patternFill>
    </fill>
    <fill>
      <patternFill patternType="solid">
        <fgColor rgb="FFA8D08D"/>
        <bgColor rgb="FFA8D08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3" fontId="3" numFmtId="0" xfId="0" applyBorder="1" applyFill="1" applyFont="1"/>
    <xf borderId="1" fillId="4" fontId="4" numFmtId="164" xfId="0" applyAlignment="1" applyBorder="1" applyFill="1" applyFont="1" applyNumberForma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0" fillId="0" fontId="3" numFmtId="0" xfId="0" applyFont="1"/>
    <xf borderId="0" fillId="0" fontId="3" numFmtId="164" xfId="0" applyFont="1" applyNumberFormat="1"/>
    <xf borderId="1" fillId="5" fontId="4" numFmtId="164" xfId="0" applyAlignment="1" applyBorder="1" applyFill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3" fillId="5" fontId="4" numFmtId="164" xfId="0" applyAlignment="1" applyBorder="1" applyFont="1" applyNumberFormat="1">
      <alignment horizontal="center" vertical="center"/>
    </xf>
    <xf borderId="4" fillId="5" fontId="4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center" vertical="center"/>
    </xf>
    <xf borderId="3" fillId="5" fontId="4" numFmtId="0" xfId="0" applyAlignment="1" applyBorder="1" applyFont="1">
      <alignment horizontal="center" vertical="center"/>
    </xf>
    <xf borderId="5" fillId="5" fontId="4" numFmtId="164" xfId="0" applyAlignment="1" applyBorder="1" applyFont="1" applyNumberFormat="1">
      <alignment horizontal="center" vertical="center"/>
    </xf>
    <xf borderId="5" fillId="5" fontId="4" numFmtId="0" xfId="0" applyAlignment="1" applyBorder="1" applyFont="1">
      <alignment horizontal="center" vertical="center"/>
    </xf>
    <xf borderId="6" fillId="5" fontId="4" numFmtId="0" xfId="0" applyAlignment="1" applyBorder="1" applyFont="1">
      <alignment horizontal="center" vertical="center"/>
    </xf>
    <xf borderId="7" fillId="0" fontId="3" numFmtId="0" xfId="0" applyBorder="1" applyFont="1"/>
    <xf borderId="3" fillId="7" fontId="4" numFmtId="164" xfId="0" applyAlignment="1" applyBorder="1" applyFill="1" applyFont="1" applyNumberFormat="1">
      <alignment horizontal="center" vertical="center"/>
    </xf>
    <xf borderId="0" fillId="7" fontId="3" numFmtId="0" xfId="0" applyFont="1"/>
    <xf borderId="3" fillId="5" fontId="6" numFmtId="0" xfId="0" applyAlignment="1" applyBorder="1" applyFont="1">
      <alignment horizontal="center" vertical="center"/>
    </xf>
    <xf borderId="3" fillId="4" fontId="4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6" fillId="4" fontId="4" numFmtId="0" xfId="0" applyAlignment="1" applyBorder="1" applyFont="1">
      <alignment horizontal="center" vertical="center"/>
    </xf>
    <xf borderId="3" fillId="4" fontId="4" numFmtId="164" xfId="0" applyAlignment="1" applyBorder="1" applyFont="1" applyNumberFormat="1">
      <alignment horizontal="center" vertical="center"/>
    </xf>
    <xf borderId="1" fillId="6" fontId="5" numFmtId="0" xfId="0" applyAlignment="1" applyBorder="1" applyFont="1">
      <alignment horizontal="center" readingOrder="0" vertical="center"/>
    </xf>
    <xf borderId="3" fillId="5" fontId="4" numFmtId="0" xfId="0" applyAlignment="1" applyBorder="1" applyFont="1">
      <alignment horizontal="center" readingOrder="0" vertical="center"/>
    </xf>
    <xf borderId="3" fillId="7" fontId="4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6" fillId="5" fontId="4" numFmtId="0" xfId="0" applyAlignment="1" applyBorder="1" applyFont="1">
      <alignment horizontal="center" readingOrder="0" vertical="center"/>
    </xf>
    <xf borderId="3" fillId="5" fontId="4" numFmtId="165" xfId="0" applyAlignment="1" applyBorder="1" applyFont="1" applyNumberFormat="1">
      <alignment horizontal="center" vertical="center"/>
    </xf>
    <xf borderId="0" fillId="0" fontId="3" numFmtId="165" xfId="0" applyFont="1" applyNumberFormat="1"/>
    <xf borderId="3" fillId="5" fontId="4" numFmtId="164" xfId="0" applyAlignment="1" applyBorder="1" applyFont="1" applyNumberFormat="1">
      <alignment horizontal="center" readingOrder="0" vertical="center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3" fillId="4" fontId="4" numFmtId="0" xfId="0" applyAlignment="1" applyBorder="1" applyFont="1">
      <alignment horizontal="center" readingOrder="0" vertical="center"/>
    </xf>
    <xf borderId="3" fillId="5" fontId="4" numFmtId="166" xfId="0" applyAlignment="1" applyBorder="1" applyFont="1" applyNumberFormat="1">
      <alignment horizontal="center" readingOrder="0" vertical="center"/>
    </xf>
    <xf borderId="3" fillId="7" fontId="4" numFmtId="0" xfId="0" applyAlignment="1" applyBorder="1" applyFont="1">
      <alignment horizontal="center" readingOrder="0" vertical="center"/>
    </xf>
    <xf borderId="1" fillId="0" fontId="7" numFmtId="166" xfId="0" applyAlignment="1" applyBorder="1" applyFont="1" applyNumberFormat="1">
      <alignment horizontal="center" readingOrder="0" vertical="center"/>
    </xf>
    <xf borderId="8" fillId="5" fontId="4" numFmtId="166" xfId="0" applyAlignment="1" applyBorder="1" applyFont="1" applyNumberFormat="1">
      <alignment horizontal="center" readingOrder="0" vertical="center"/>
    </xf>
    <xf borderId="3" fillId="8" fontId="4" numFmtId="0" xfId="0" applyAlignment="1" applyBorder="1" applyFill="1" applyFont="1">
      <alignment horizontal="center" vertical="center"/>
    </xf>
    <xf borderId="7" fillId="8" fontId="4" numFmtId="0" xfId="0" applyAlignment="1" applyBorder="1" applyFont="1">
      <alignment horizontal="center" vertical="center"/>
    </xf>
    <xf borderId="9" fillId="8" fontId="4" numFmtId="0" xfId="0" applyAlignment="1" applyBorder="1" applyFont="1">
      <alignment horizontal="right" vertical="center"/>
    </xf>
    <xf borderId="10" fillId="0" fontId="3" numFmtId="0" xfId="0" applyBorder="1" applyFont="1"/>
    <xf borderId="0" fillId="0" fontId="3" numFmtId="0" xfId="0" applyAlignment="1" applyFont="1">
      <alignment horizontal="center" vertical="center"/>
    </xf>
    <xf borderId="10" fillId="0" fontId="3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71"/>
    <col customWidth="1" min="2" max="3" width="53.29"/>
    <col customWidth="1" min="4" max="4" width="20.43"/>
    <col customWidth="1" min="5" max="6" width="30.71"/>
    <col customWidth="1" min="7" max="7" width="33.14"/>
    <col customWidth="1" min="8" max="8" width="54.14"/>
    <col customWidth="1" min="9" max="26" width="30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44961.0</v>
      </c>
      <c r="B2" s="5" t="s">
        <v>8</v>
      </c>
      <c r="C2" s="5" t="s">
        <v>9</v>
      </c>
      <c r="D2" s="6">
        <v>2.0</v>
      </c>
      <c r="E2" s="7">
        <v>5000.0</v>
      </c>
      <c r="F2" s="8" t="s">
        <v>10</v>
      </c>
      <c r="G2" s="9">
        <v>45091.0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45008.0</v>
      </c>
      <c r="B3" s="5" t="s">
        <v>11</v>
      </c>
      <c r="C3" s="5" t="s">
        <v>9</v>
      </c>
      <c r="D3" s="6">
        <v>4.0</v>
      </c>
      <c r="E3" s="7">
        <v>6000.0</v>
      </c>
      <c r="F3" s="8" t="s">
        <v>10</v>
      </c>
      <c r="G3" s="9">
        <v>45120.0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45017.0</v>
      </c>
      <c r="B4" s="5" t="s">
        <v>12</v>
      </c>
      <c r="C4" s="5" t="s">
        <v>9</v>
      </c>
      <c r="D4" s="6">
        <v>4.0</v>
      </c>
      <c r="E4" s="5">
        <v>5920.0</v>
      </c>
      <c r="F4" s="8" t="s">
        <v>10</v>
      </c>
      <c r="G4" s="9">
        <v>45131.0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>
        <v>45023.0</v>
      </c>
      <c r="B5" s="11" t="s">
        <v>13</v>
      </c>
      <c r="C5" s="5" t="s">
        <v>9</v>
      </c>
      <c r="D5" s="12">
        <v>1.0</v>
      </c>
      <c r="E5" s="11">
        <v>1350.0</v>
      </c>
      <c r="F5" s="8" t="s">
        <v>10</v>
      </c>
      <c r="G5" s="9">
        <v>45131.0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>
        <v>45027.0</v>
      </c>
      <c r="B6" s="11" t="s">
        <v>14</v>
      </c>
      <c r="C6" s="5" t="s">
        <v>9</v>
      </c>
      <c r="D6" s="12">
        <v>1.0</v>
      </c>
      <c r="E6" s="11">
        <v>1950.0</v>
      </c>
      <c r="F6" s="8" t="s">
        <v>10</v>
      </c>
      <c r="G6" s="9">
        <v>45141.0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>
        <v>45027.0</v>
      </c>
      <c r="B7" s="11" t="s">
        <v>15</v>
      </c>
      <c r="C7" s="5" t="s">
        <v>9</v>
      </c>
      <c r="D7" s="12">
        <v>4.0</v>
      </c>
      <c r="E7" s="11">
        <v>6800.0</v>
      </c>
      <c r="F7" s="8" t="s">
        <v>10</v>
      </c>
      <c r="G7" s="9">
        <v>45141.0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>
        <v>45030.0</v>
      </c>
      <c r="B8" s="11" t="s">
        <v>16</v>
      </c>
      <c r="C8" s="5" t="s">
        <v>9</v>
      </c>
      <c r="D8" s="12">
        <v>2.0</v>
      </c>
      <c r="E8" s="11">
        <v>2200.0</v>
      </c>
      <c r="F8" s="8" t="s">
        <v>10</v>
      </c>
      <c r="G8" s="9">
        <v>45141.0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>
        <v>45030.0</v>
      </c>
      <c r="B9" s="11" t="s">
        <v>17</v>
      </c>
      <c r="C9" s="5" t="s">
        <v>9</v>
      </c>
      <c r="D9" s="12">
        <v>2.0</v>
      </c>
      <c r="E9" s="11">
        <v>2560.0</v>
      </c>
      <c r="F9" s="8" t="s">
        <v>10</v>
      </c>
      <c r="G9" s="9">
        <v>45157.0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>
        <v>45030.0</v>
      </c>
      <c r="B10" s="11" t="s">
        <v>18</v>
      </c>
      <c r="C10" s="5" t="s">
        <v>9</v>
      </c>
      <c r="D10" s="12">
        <v>2.0</v>
      </c>
      <c r="E10" s="11">
        <v>3600.0</v>
      </c>
      <c r="F10" s="8" t="s">
        <v>10</v>
      </c>
      <c r="G10" s="9">
        <v>45141.0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0">
        <v>45030.0</v>
      </c>
      <c r="B11" s="11" t="s">
        <v>19</v>
      </c>
      <c r="C11" s="5" t="s">
        <v>9</v>
      </c>
      <c r="D11" s="12">
        <v>4.0</v>
      </c>
      <c r="E11" s="11">
        <v>5400.0</v>
      </c>
      <c r="F11" s="8" t="s">
        <v>10</v>
      </c>
      <c r="G11" s="9">
        <v>45157.0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">
        <v>45031.0</v>
      </c>
      <c r="B12" s="11" t="s">
        <v>20</v>
      </c>
      <c r="C12" s="5" t="s">
        <v>9</v>
      </c>
      <c r="D12" s="12">
        <v>2.0</v>
      </c>
      <c r="E12" s="11">
        <v>1800.0</v>
      </c>
      <c r="F12" s="8" t="s">
        <v>10</v>
      </c>
      <c r="G12" s="9">
        <v>45157.0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0">
        <v>45031.0</v>
      </c>
      <c r="B13" s="11" t="s">
        <v>21</v>
      </c>
      <c r="C13" s="5" t="s">
        <v>9</v>
      </c>
      <c r="D13" s="12">
        <v>2.0</v>
      </c>
      <c r="E13" s="11">
        <v>3660.0</v>
      </c>
      <c r="F13" s="8" t="s">
        <v>10</v>
      </c>
      <c r="G13" s="9">
        <v>45157.0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0">
        <v>45033.0</v>
      </c>
      <c r="B14" s="11" t="s">
        <v>22</v>
      </c>
      <c r="C14" s="5" t="s">
        <v>9</v>
      </c>
      <c r="D14" s="12">
        <v>1.0</v>
      </c>
      <c r="E14" s="11">
        <v>1350.0</v>
      </c>
      <c r="F14" s="8" t="s">
        <v>10</v>
      </c>
      <c r="G14" s="9">
        <v>45157.0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0">
        <v>45033.0</v>
      </c>
      <c r="B15" s="11" t="s">
        <v>23</v>
      </c>
      <c r="C15" s="5" t="s">
        <v>9</v>
      </c>
      <c r="D15" s="6">
        <v>2.0</v>
      </c>
      <c r="E15" s="11">
        <v>2700.0</v>
      </c>
      <c r="F15" s="8" t="s">
        <v>10</v>
      </c>
      <c r="G15" s="9">
        <v>45161.0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0">
        <v>45034.0</v>
      </c>
      <c r="B16" s="11" t="s">
        <v>24</v>
      </c>
      <c r="C16" s="5" t="s">
        <v>9</v>
      </c>
      <c r="D16" s="6">
        <v>2.0</v>
      </c>
      <c r="E16" s="11">
        <v>2300.0</v>
      </c>
      <c r="F16" s="8" t="s">
        <v>10</v>
      </c>
      <c r="G16" s="9">
        <v>45161.0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0">
        <v>45035.0</v>
      </c>
      <c r="B17" s="11" t="s">
        <v>25</v>
      </c>
      <c r="C17" s="5" t="s">
        <v>9</v>
      </c>
      <c r="D17" s="6">
        <v>1.0</v>
      </c>
      <c r="E17" s="11">
        <v>3850.0</v>
      </c>
      <c r="F17" s="8" t="s">
        <v>10</v>
      </c>
      <c r="G17" s="9">
        <v>45161.0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0">
        <v>45036.0</v>
      </c>
      <c r="B18" s="11" t="s">
        <v>26</v>
      </c>
      <c r="C18" s="5" t="s">
        <v>9</v>
      </c>
      <c r="D18" s="6">
        <v>4.0</v>
      </c>
      <c r="E18" s="11">
        <v>8000.0</v>
      </c>
      <c r="F18" s="8" t="s">
        <v>10</v>
      </c>
      <c r="G18" s="9">
        <v>45170.0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0">
        <v>45042.0</v>
      </c>
      <c r="B19" s="11" t="s">
        <v>27</v>
      </c>
      <c r="C19" s="5" t="s">
        <v>9</v>
      </c>
      <c r="D19" s="12">
        <v>2.0</v>
      </c>
      <c r="E19" s="11">
        <v>2700.0</v>
      </c>
      <c r="F19" s="8" t="s">
        <v>10</v>
      </c>
      <c r="G19" s="9">
        <v>45176.0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0">
        <v>45043.0</v>
      </c>
      <c r="B20" s="11" t="s">
        <v>28</v>
      </c>
      <c r="C20" s="5" t="s">
        <v>9</v>
      </c>
      <c r="D20" s="12">
        <v>2.0</v>
      </c>
      <c r="E20" s="11">
        <v>1700.0</v>
      </c>
      <c r="F20" s="8" t="s">
        <v>10</v>
      </c>
      <c r="G20" s="9">
        <v>45176.0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0">
        <v>45043.0</v>
      </c>
      <c r="B21" s="11" t="s">
        <v>29</v>
      </c>
      <c r="C21" s="5" t="s">
        <v>9</v>
      </c>
      <c r="D21" s="12">
        <v>2.0</v>
      </c>
      <c r="E21" s="11">
        <v>2960.0</v>
      </c>
      <c r="F21" s="8" t="s">
        <v>10</v>
      </c>
      <c r="G21" s="9">
        <v>45176.0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0">
        <v>45043.0</v>
      </c>
      <c r="B22" s="11" t="s">
        <v>30</v>
      </c>
      <c r="C22" s="5" t="s">
        <v>9</v>
      </c>
      <c r="D22" s="12">
        <v>4.0</v>
      </c>
      <c r="E22" s="11">
        <v>3800.0</v>
      </c>
      <c r="F22" s="8" t="s">
        <v>10</v>
      </c>
      <c r="G22" s="9">
        <v>45182.0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0">
        <v>45043.0</v>
      </c>
      <c r="B23" s="11" t="s">
        <v>31</v>
      </c>
      <c r="C23" s="5" t="s">
        <v>9</v>
      </c>
      <c r="D23" s="12">
        <v>4.0</v>
      </c>
      <c r="E23" s="11">
        <v>5000.0</v>
      </c>
      <c r="F23" s="8" t="s">
        <v>10</v>
      </c>
      <c r="G23" s="9">
        <v>45182.0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0">
        <v>45045.0</v>
      </c>
      <c r="B24" s="11" t="s">
        <v>32</v>
      </c>
      <c r="C24" s="5" t="s">
        <v>9</v>
      </c>
      <c r="D24" s="12">
        <v>4.0</v>
      </c>
      <c r="E24" s="11">
        <v>2640.0</v>
      </c>
      <c r="F24" s="8" t="s">
        <v>10</v>
      </c>
      <c r="G24" s="9">
        <v>45196.0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0">
        <v>45045.0</v>
      </c>
      <c r="B25" s="11" t="s">
        <v>33</v>
      </c>
      <c r="C25" s="5" t="s">
        <v>9</v>
      </c>
      <c r="D25" s="12">
        <v>4.0</v>
      </c>
      <c r="E25" s="11">
        <v>9600.0</v>
      </c>
      <c r="F25" s="8" t="s">
        <v>10</v>
      </c>
      <c r="G25" s="9">
        <v>45196.0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0">
        <v>45048.0</v>
      </c>
      <c r="B26" s="11" t="s">
        <v>34</v>
      </c>
      <c r="C26" s="5" t="s">
        <v>9</v>
      </c>
      <c r="D26" s="12">
        <v>2.0</v>
      </c>
      <c r="E26" s="11">
        <v>3100.0</v>
      </c>
      <c r="F26" s="8" t="s">
        <v>10</v>
      </c>
      <c r="G26" s="9">
        <v>45206.0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0">
        <v>45051.0</v>
      </c>
      <c r="B27" s="11" t="s">
        <v>8</v>
      </c>
      <c r="C27" s="5" t="s">
        <v>9</v>
      </c>
      <c r="D27" s="12">
        <v>1.0</v>
      </c>
      <c r="E27" s="11">
        <v>2600.0</v>
      </c>
      <c r="F27" s="8" t="s">
        <v>10</v>
      </c>
      <c r="G27" s="9">
        <v>45206.0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0">
        <v>45057.0</v>
      </c>
      <c r="B28" s="11" t="s">
        <v>35</v>
      </c>
      <c r="C28" s="5" t="s">
        <v>9</v>
      </c>
      <c r="D28" s="12">
        <v>3.0</v>
      </c>
      <c r="E28" s="11">
        <v>3300.0</v>
      </c>
      <c r="F28" s="8" t="s">
        <v>10</v>
      </c>
      <c r="G28" s="9">
        <v>45206.0</v>
      </c>
      <c r="H28" s="8" t="s">
        <v>36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0">
        <v>45058.0</v>
      </c>
      <c r="B29" s="11" t="s">
        <v>37</v>
      </c>
      <c r="C29" s="5" t="s">
        <v>9</v>
      </c>
      <c r="D29" s="12">
        <v>1.0</v>
      </c>
      <c r="E29" s="11">
        <v>600.0</v>
      </c>
      <c r="F29" s="8" t="s">
        <v>10</v>
      </c>
      <c r="G29" s="9">
        <v>45210.0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0">
        <v>45059.0</v>
      </c>
      <c r="B30" s="11" t="s">
        <v>38</v>
      </c>
      <c r="C30" s="5" t="s">
        <v>9</v>
      </c>
      <c r="D30" s="12">
        <v>2.0</v>
      </c>
      <c r="E30" s="11">
        <v>2160.0</v>
      </c>
      <c r="F30" s="8" t="s">
        <v>10</v>
      </c>
      <c r="G30" s="9">
        <v>45210.0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0">
        <v>45072.0</v>
      </c>
      <c r="B31" s="11" t="s">
        <v>39</v>
      </c>
      <c r="C31" s="5" t="s">
        <v>9</v>
      </c>
      <c r="D31" s="12">
        <v>2.0</v>
      </c>
      <c r="E31" s="11">
        <v>1960.0</v>
      </c>
      <c r="F31" s="8" t="s">
        <v>10</v>
      </c>
      <c r="G31" s="9">
        <v>45210.0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0">
        <v>45075.0</v>
      </c>
      <c r="B32" s="11" t="s">
        <v>40</v>
      </c>
      <c r="C32" s="5" t="s">
        <v>9</v>
      </c>
      <c r="D32" s="12">
        <v>1.0</v>
      </c>
      <c r="E32" s="11">
        <v>1750.0</v>
      </c>
      <c r="F32" s="8" t="s">
        <v>10</v>
      </c>
      <c r="G32" s="9">
        <v>45210.0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0">
        <v>45075.0</v>
      </c>
      <c r="B33" s="11" t="s">
        <v>41</v>
      </c>
      <c r="C33" s="5" t="s">
        <v>9</v>
      </c>
      <c r="D33" s="12">
        <v>2.0</v>
      </c>
      <c r="E33" s="11">
        <v>3500.0</v>
      </c>
      <c r="F33" s="8" t="s">
        <v>10</v>
      </c>
      <c r="G33" s="9">
        <v>45210.0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0">
        <v>45082.0</v>
      </c>
      <c r="B34" s="11" t="s">
        <v>12</v>
      </c>
      <c r="C34" s="5" t="s">
        <v>9</v>
      </c>
      <c r="D34" s="12">
        <v>4.0</v>
      </c>
      <c r="E34" s="11">
        <f>5800-298</f>
        <v>5502</v>
      </c>
      <c r="F34" s="8" t="s">
        <v>10</v>
      </c>
      <c r="G34" s="9">
        <v>45227.0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0">
        <v>45084.0</v>
      </c>
      <c r="B35" s="11" t="s">
        <v>42</v>
      </c>
      <c r="C35" s="5" t="s">
        <v>9</v>
      </c>
      <c r="D35" s="12">
        <v>4.0</v>
      </c>
      <c r="E35" s="11">
        <v>2400.0</v>
      </c>
      <c r="F35" s="8" t="s">
        <v>10</v>
      </c>
      <c r="G35" s="9">
        <v>45227.0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0">
        <v>45087.0</v>
      </c>
      <c r="B36" s="11" t="s">
        <v>43</v>
      </c>
      <c r="C36" s="5" t="s">
        <v>9</v>
      </c>
      <c r="D36" s="12">
        <v>4.0</v>
      </c>
      <c r="E36" s="11">
        <v>3680.0</v>
      </c>
      <c r="F36" s="8" t="s">
        <v>10</v>
      </c>
      <c r="G36" s="9">
        <v>45227.0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0">
        <v>45089.0</v>
      </c>
      <c r="B37" s="11" t="s">
        <v>44</v>
      </c>
      <c r="C37" s="5" t="s">
        <v>9</v>
      </c>
      <c r="D37" s="12">
        <v>2.0</v>
      </c>
      <c r="E37" s="11">
        <v>2500.0</v>
      </c>
      <c r="F37" s="8" t="s">
        <v>10</v>
      </c>
      <c r="G37" s="9">
        <v>45227.0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0">
        <v>45090.0</v>
      </c>
      <c r="B38" s="11" t="s">
        <v>45</v>
      </c>
      <c r="C38" s="5" t="s">
        <v>9</v>
      </c>
      <c r="D38" s="12">
        <v>4.0</v>
      </c>
      <c r="E38" s="11">
        <v>5600.0</v>
      </c>
      <c r="F38" s="8" t="s">
        <v>10</v>
      </c>
      <c r="G38" s="9">
        <v>45275.0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0">
        <v>45093.0</v>
      </c>
      <c r="B39" s="11" t="s">
        <v>46</v>
      </c>
      <c r="C39" s="5" t="s">
        <v>9</v>
      </c>
      <c r="D39" s="12">
        <v>1.0</v>
      </c>
      <c r="E39" s="11">
        <v>1550.0</v>
      </c>
      <c r="F39" s="8" t="s">
        <v>10</v>
      </c>
      <c r="G39" s="9">
        <v>45275.0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0">
        <v>45098.0</v>
      </c>
      <c r="B40" s="11" t="s">
        <v>47</v>
      </c>
      <c r="C40" s="5" t="s">
        <v>9</v>
      </c>
      <c r="D40" s="12">
        <v>4.0</v>
      </c>
      <c r="E40" s="11">
        <v>6200.0</v>
      </c>
      <c r="F40" s="8" t="s">
        <v>10</v>
      </c>
      <c r="G40" s="9">
        <v>45275.0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0">
        <v>45099.0</v>
      </c>
      <c r="B41" s="11" t="s">
        <v>48</v>
      </c>
      <c r="C41" s="5" t="s">
        <v>9</v>
      </c>
      <c r="D41" s="12">
        <v>1.0</v>
      </c>
      <c r="E41" s="11">
        <v>1000.0</v>
      </c>
      <c r="F41" s="8" t="s">
        <v>10</v>
      </c>
      <c r="G41" s="9">
        <v>45289.0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0">
        <v>45099.0</v>
      </c>
      <c r="B42" s="11" t="s">
        <v>49</v>
      </c>
      <c r="C42" s="5" t="s">
        <v>9</v>
      </c>
      <c r="D42" s="12">
        <v>1.0</v>
      </c>
      <c r="E42" s="11">
        <v>1600.0</v>
      </c>
      <c r="F42" s="8" t="s">
        <v>10</v>
      </c>
      <c r="G42" s="9">
        <v>45289.0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0">
        <v>45099.0</v>
      </c>
      <c r="B43" s="11" t="s">
        <v>50</v>
      </c>
      <c r="C43" s="5" t="s">
        <v>9</v>
      </c>
      <c r="D43" s="12">
        <v>2.0</v>
      </c>
      <c r="E43" s="11">
        <v>1960.0</v>
      </c>
      <c r="F43" s="8" t="s">
        <v>10</v>
      </c>
      <c r="G43" s="9">
        <v>45289.0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0">
        <v>45099.0</v>
      </c>
      <c r="B44" s="11" t="s">
        <v>39</v>
      </c>
      <c r="C44" s="5" t="s">
        <v>9</v>
      </c>
      <c r="D44" s="12">
        <v>4.0</v>
      </c>
      <c r="E44" s="11">
        <v>3920.0</v>
      </c>
      <c r="F44" s="8" t="s">
        <v>10</v>
      </c>
      <c r="G44" s="9">
        <v>45289.0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0">
        <v>45100.0</v>
      </c>
      <c r="B45" s="11" t="s">
        <v>51</v>
      </c>
      <c r="C45" s="5" t="s">
        <v>9</v>
      </c>
      <c r="D45" s="12">
        <v>1.0</v>
      </c>
      <c r="E45" s="11">
        <v>1080.0</v>
      </c>
      <c r="F45" s="8" t="s">
        <v>10</v>
      </c>
      <c r="G45" s="9">
        <v>45289.0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0">
        <v>45100.0</v>
      </c>
      <c r="B46" s="11" t="s">
        <v>52</v>
      </c>
      <c r="C46" s="5" t="s">
        <v>9</v>
      </c>
      <c r="D46" s="12">
        <v>1.0</v>
      </c>
      <c r="E46" s="11">
        <v>1350.0</v>
      </c>
      <c r="F46" s="8" t="s">
        <v>10</v>
      </c>
      <c r="G46" s="9">
        <v>45289.0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0">
        <v>45101.0</v>
      </c>
      <c r="B47" s="11" t="s">
        <v>53</v>
      </c>
      <c r="C47" s="5" t="s">
        <v>9</v>
      </c>
      <c r="D47" s="12">
        <v>2.0</v>
      </c>
      <c r="E47" s="11">
        <v>3160.0</v>
      </c>
      <c r="F47" s="8" t="s">
        <v>10</v>
      </c>
      <c r="G47" s="9">
        <v>45289.0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0">
        <v>45111.0</v>
      </c>
      <c r="B48" s="11" t="s">
        <v>54</v>
      </c>
      <c r="C48" s="5" t="s">
        <v>9</v>
      </c>
      <c r="D48" s="12">
        <v>2.0</v>
      </c>
      <c r="E48" s="11">
        <v>2500.0</v>
      </c>
      <c r="F48" s="8" t="s">
        <v>10</v>
      </c>
      <c r="G48" s="9">
        <v>45348.0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0">
        <v>45112.0</v>
      </c>
      <c r="B49" s="11" t="s">
        <v>55</v>
      </c>
      <c r="C49" s="5" t="s">
        <v>9</v>
      </c>
      <c r="D49" s="12">
        <v>2.0</v>
      </c>
      <c r="E49" s="11">
        <v>2300.0</v>
      </c>
      <c r="F49" s="8" t="s">
        <v>10</v>
      </c>
      <c r="G49" s="9">
        <v>45348.0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0">
        <v>45112.0</v>
      </c>
      <c r="B50" s="11" t="s">
        <v>56</v>
      </c>
      <c r="C50" s="5" t="s">
        <v>9</v>
      </c>
      <c r="D50" s="12">
        <v>4.0</v>
      </c>
      <c r="E50" s="11">
        <v>6000.0</v>
      </c>
      <c r="F50" s="8" t="s">
        <v>10</v>
      </c>
      <c r="G50" s="9">
        <v>45348.0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0">
        <v>45113.0</v>
      </c>
      <c r="B51" s="11" t="s">
        <v>57</v>
      </c>
      <c r="C51" s="5" t="s">
        <v>9</v>
      </c>
      <c r="D51" s="12">
        <v>2.0</v>
      </c>
      <c r="E51" s="11">
        <v>4100.0</v>
      </c>
      <c r="F51" s="8" t="s">
        <v>10</v>
      </c>
      <c r="G51" s="9">
        <v>45348.0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0">
        <v>45115.0</v>
      </c>
      <c r="B52" s="11" t="s">
        <v>58</v>
      </c>
      <c r="C52" s="5" t="s">
        <v>9</v>
      </c>
      <c r="D52" s="12">
        <v>2.0</v>
      </c>
      <c r="E52" s="11">
        <v>2900.0</v>
      </c>
      <c r="F52" s="8" t="s">
        <v>10</v>
      </c>
      <c r="G52" s="9">
        <v>45348.0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3">
        <v>45117.0</v>
      </c>
      <c r="B53" s="14" t="s">
        <v>59</v>
      </c>
      <c r="C53" s="5" t="s">
        <v>9</v>
      </c>
      <c r="D53" s="15">
        <v>1.0</v>
      </c>
      <c r="E53" s="16">
        <v>720.0</v>
      </c>
      <c r="F53" s="8" t="s">
        <v>10</v>
      </c>
      <c r="G53" s="9">
        <v>45353.0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7">
        <v>45117.0</v>
      </c>
      <c r="B54" s="11" t="s">
        <v>60</v>
      </c>
      <c r="C54" s="5" t="s">
        <v>9</v>
      </c>
      <c r="D54" s="12">
        <v>1.0</v>
      </c>
      <c r="E54" s="18">
        <v>2200.0</v>
      </c>
      <c r="F54" s="8" t="s">
        <v>10</v>
      </c>
      <c r="G54" s="9">
        <v>45348.0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7">
        <v>45118.0</v>
      </c>
      <c r="B55" s="11" t="s">
        <v>61</v>
      </c>
      <c r="C55" s="5" t="s">
        <v>9</v>
      </c>
      <c r="D55" s="12">
        <v>4.0</v>
      </c>
      <c r="E55" s="18">
        <v>2280.0</v>
      </c>
      <c r="F55" s="8" t="s">
        <v>10</v>
      </c>
      <c r="G55" s="9">
        <v>45353.0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7">
        <v>45118.0</v>
      </c>
      <c r="B56" s="11" t="s">
        <v>62</v>
      </c>
      <c r="C56" s="5" t="s">
        <v>9</v>
      </c>
      <c r="D56" s="12">
        <v>2.0</v>
      </c>
      <c r="E56" s="18">
        <v>4600.0</v>
      </c>
      <c r="F56" s="8" t="s">
        <v>10</v>
      </c>
      <c r="G56" s="9">
        <v>45353.0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7">
        <v>45119.0</v>
      </c>
      <c r="B57" s="11" t="s">
        <v>63</v>
      </c>
      <c r="C57" s="5" t="s">
        <v>9</v>
      </c>
      <c r="D57" s="12">
        <v>1.0</v>
      </c>
      <c r="E57" s="18">
        <v>2600.0</v>
      </c>
      <c r="F57" s="8" t="s">
        <v>10</v>
      </c>
      <c r="G57" s="9">
        <v>45353.0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7">
        <v>45120.0</v>
      </c>
      <c r="B58" s="11" t="s">
        <v>64</v>
      </c>
      <c r="C58" s="5" t="s">
        <v>9</v>
      </c>
      <c r="D58" s="12">
        <v>1.0</v>
      </c>
      <c r="E58" s="18">
        <v>620.0</v>
      </c>
      <c r="F58" s="8" t="s">
        <v>10</v>
      </c>
      <c r="G58" s="9">
        <v>45353.0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7">
        <v>45121.0</v>
      </c>
      <c r="B59" s="11" t="s">
        <v>65</v>
      </c>
      <c r="C59" s="5" t="s">
        <v>9</v>
      </c>
      <c r="D59" s="12">
        <v>1.0</v>
      </c>
      <c r="E59" s="18">
        <v>1880.0</v>
      </c>
      <c r="F59" s="8" t="s">
        <v>10</v>
      </c>
      <c r="G59" s="9">
        <v>45353.0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7">
        <v>45121.0</v>
      </c>
      <c r="B60" s="11" t="s">
        <v>42</v>
      </c>
      <c r="C60" s="5" t="s">
        <v>9</v>
      </c>
      <c r="D60" s="12">
        <v>4.0</v>
      </c>
      <c r="E60" s="18">
        <v>2400.0</v>
      </c>
      <c r="F60" s="8" t="s">
        <v>10</v>
      </c>
      <c r="G60" s="9">
        <v>45353.0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7">
        <v>45122.0</v>
      </c>
      <c r="B61" s="11" t="s">
        <v>66</v>
      </c>
      <c r="C61" s="5" t="s">
        <v>9</v>
      </c>
      <c r="D61" s="12">
        <v>2.0</v>
      </c>
      <c r="E61" s="18">
        <v>3300.0</v>
      </c>
      <c r="F61" s="8" t="s">
        <v>10</v>
      </c>
      <c r="G61" s="9">
        <v>45353.0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3">
        <v>45125.0</v>
      </c>
      <c r="B62" s="11" t="s">
        <v>67</v>
      </c>
      <c r="C62" s="5" t="s">
        <v>9</v>
      </c>
      <c r="D62" s="12">
        <v>1.0</v>
      </c>
      <c r="E62" s="16">
        <v>500.0</v>
      </c>
      <c r="F62" s="8" t="s">
        <v>10</v>
      </c>
      <c r="G62" s="9">
        <v>45353.0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3">
        <v>45126.0</v>
      </c>
      <c r="B63" s="11" t="s">
        <v>68</v>
      </c>
      <c r="C63" s="5" t="s">
        <v>9</v>
      </c>
      <c r="D63" s="12">
        <v>4.0</v>
      </c>
      <c r="E63" s="16">
        <v>11600.0</v>
      </c>
      <c r="F63" s="8" t="s">
        <v>10</v>
      </c>
      <c r="G63" s="9">
        <v>45381.0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3">
        <v>45127.0</v>
      </c>
      <c r="B64" s="11" t="s">
        <v>59</v>
      </c>
      <c r="C64" s="5" t="s">
        <v>9</v>
      </c>
      <c r="D64" s="12">
        <v>1.0</v>
      </c>
      <c r="E64" s="16">
        <v>720.0</v>
      </c>
      <c r="F64" s="8" t="s">
        <v>10</v>
      </c>
      <c r="G64" s="9">
        <v>45405.0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3">
        <v>45129.0</v>
      </c>
      <c r="B65" s="11" t="s">
        <v>69</v>
      </c>
      <c r="C65" s="5" t="s">
        <v>9</v>
      </c>
      <c r="D65" s="12">
        <v>2.0</v>
      </c>
      <c r="E65" s="16">
        <v>5400.0</v>
      </c>
      <c r="F65" s="8" t="s">
        <v>10</v>
      </c>
      <c r="G65" s="9">
        <v>45405.0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3">
        <v>45132.0</v>
      </c>
      <c r="B66" s="11" t="s">
        <v>70</v>
      </c>
      <c r="C66" s="5" t="s">
        <v>9</v>
      </c>
      <c r="D66" s="12">
        <v>2.0</v>
      </c>
      <c r="E66" s="16">
        <v>3700.0</v>
      </c>
      <c r="F66" s="8" t="s">
        <v>10</v>
      </c>
      <c r="G66" s="9">
        <v>45405.0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7">
        <v>45133.0</v>
      </c>
      <c r="B67" s="19" t="s">
        <v>71</v>
      </c>
      <c r="C67" s="5" t="s">
        <v>9</v>
      </c>
      <c r="D67" s="12">
        <v>2.0</v>
      </c>
      <c r="E67" s="18">
        <v>4000.0</v>
      </c>
      <c r="F67" s="8" t="s">
        <v>10</v>
      </c>
      <c r="G67" s="9">
        <v>45422.0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3">
        <v>45133.0</v>
      </c>
      <c r="B68" s="19" t="s">
        <v>72</v>
      </c>
      <c r="C68" s="5" t="s">
        <v>9</v>
      </c>
      <c r="D68" s="12">
        <v>4.0</v>
      </c>
      <c r="E68" s="16">
        <v>5200.0</v>
      </c>
      <c r="F68" s="8" t="s">
        <v>10</v>
      </c>
      <c r="G68" s="9">
        <v>45422.0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3">
        <v>45134.0</v>
      </c>
      <c r="B69" s="19" t="s">
        <v>42</v>
      </c>
      <c r="C69" s="5" t="s">
        <v>9</v>
      </c>
      <c r="D69" s="12">
        <v>2.0</v>
      </c>
      <c r="E69" s="16">
        <v>1200.0</v>
      </c>
      <c r="F69" s="8" t="s">
        <v>10</v>
      </c>
      <c r="G69" s="9">
        <v>45422.0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3">
        <v>45134.0</v>
      </c>
      <c r="B70" s="19" t="s">
        <v>73</v>
      </c>
      <c r="C70" s="5" t="s">
        <v>9</v>
      </c>
      <c r="D70" s="12">
        <v>4.0</v>
      </c>
      <c r="E70" s="16">
        <v>6200.0</v>
      </c>
      <c r="F70" s="8" t="s">
        <v>10</v>
      </c>
      <c r="G70" s="9">
        <v>45422.0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3">
        <v>45135.0</v>
      </c>
      <c r="B71" s="19" t="s">
        <v>74</v>
      </c>
      <c r="C71" s="5" t="s">
        <v>9</v>
      </c>
      <c r="D71" s="12">
        <v>1.0</v>
      </c>
      <c r="E71" s="16">
        <v>2300.0</v>
      </c>
      <c r="F71" s="8" t="s">
        <v>10</v>
      </c>
      <c r="G71" s="9">
        <v>45422.0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3">
        <v>45142.0</v>
      </c>
      <c r="B72" s="19" t="s">
        <v>17</v>
      </c>
      <c r="C72" s="5" t="s">
        <v>9</v>
      </c>
      <c r="D72" s="12">
        <v>1.0</v>
      </c>
      <c r="E72" s="16">
        <v>1280.0</v>
      </c>
      <c r="F72" s="8" t="s">
        <v>10</v>
      </c>
      <c r="G72" s="9">
        <v>45498.0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3">
        <v>45145.0</v>
      </c>
      <c r="B73" s="19" t="s">
        <v>75</v>
      </c>
      <c r="C73" s="5" t="s">
        <v>9</v>
      </c>
      <c r="D73" s="12">
        <v>2.0</v>
      </c>
      <c r="E73" s="16">
        <v>1800.0</v>
      </c>
      <c r="F73" s="8" t="s">
        <v>10</v>
      </c>
      <c r="G73" s="9">
        <v>45498.0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7">
        <v>45148.0</v>
      </c>
      <c r="B74" s="19" t="s">
        <v>76</v>
      </c>
      <c r="C74" s="5" t="s">
        <v>9</v>
      </c>
      <c r="D74" s="12">
        <v>4.0</v>
      </c>
      <c r="E74" s="18">
        <v>2400.0</v>
      </c>
      <c r="F74" s="8" t="s">
        <v>10</v>
      </c>
      <c r="G74" s="9">
        <v>45498.0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3">
        <v>45152.0</v>
      </c>
      <c r="B75" s="19" t="s">
        <v>77</v>
      </c>
      <c r="C75" s="5" t="s">
        <v>9</v>
      </c>
      <c r="D75" s="12">
        <v>2.0</v>
      </c>
      <c r="E75" s="16">
        <v>2800.0</v>
      </c>
      <c r="F75" s="8" t="s">
        <v>10</v>
      </c>
      <c r="G75" s="9">
        <v>45498.0</v>
      </c>
      <c r="H75" s="8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1">
        <v>45153.0</v>
      </c>
      <c r="B76" s="19" t="s">
        <v>78</v>
      </c>
      <c r="C76" s="5" t="s">
        <v>9</v>
      </c>
      <c r="D76" s="12">
        <v>4.0</v>
      </c>
      <c r="E76" s="16">
        <v>3520.0</v>
      </c>
      <c r="F76" s="8" t="s">
        <v>10</v>
      </c>
      <c r="G76" s="9">
        <v>45498.0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3">
        <v>45153.0</v>
      </c>
      <c r="B77" s="19" t="s">
        <v>79</v>
      </c>
      <c r="C77" s="5" t="s">
        <v>9</v>
      </c>
      <c r="D77" s="12">
        <v>4.0</v>
      </c>
      <c r="E77" s="16">
        <v>4400.0</v>
      </c>
      <c r="F77" s="8" t="s">
        <v>10</v>
      </c>
      <c r="G77" s="9">
        <v>45498.0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3">
        <v>45153.0</v>
      </c>
      <c r="B78" s="19" t="s">
        <v>80</v>
      </c>
      <c r="C78" s="5" t="s">
        <v>9</v>
      </c>
      <c r="D78" s="12">
        <v>6.0</v>
      </c>
      <c r="E78" s="16">
        <v>6420.0</v>
      </c>
      <c r="F78" s="8" t="s">
        <v>10</v>
      </c>
      <c r="G78" s="9">
        <v>45498.0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3">
        <v>45154.0</v>
      </c>
      <c r="B79" s="19" t="s">
        <v>39</v>
      </c>
      <c r="C79" s="5" t="s">
        <v>9</v>
      </c>
      <c r="D79" s="12">
        <v>1.0</v>
      </c>
      <c r="E79" s="16">
        <v>980.0</v>
      </c>
      <c r="F79" s="8" t="s">
        <v>10</v>
      </c>
      <c r="G79" s="9">
        <v>45498.0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3">
        <v>45155.0</v>
      </c>
      <c r="B80" s="19" t="s">
        <v>81</v>
      </c>
      <c r="C80" s="5" t="s">
        <v>9</v>
      </c>
      <c r="D80" s="12">
        <v>2.0</v>
      </c>
      <c r="E80" s="16">
        <v>1760.0</v>
      </c>
      <c r="F80" s="8" t="s">
        <v>10</v>
      </c>
      <c r="G80" s="9">
        <v>45498.0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3">
        <v>45156.0</v>
      </c>
      <c r="B81" s="19" t="s">
        <v>82</v>
      </c>
      <c r="C81" s="5" t="s">
        <v>83</v>
      </c>
      <c r="D81" s="12">
        <v>4.0</v>
      </c>
      <c r="E81" s="16">
        <v>8000.0</v>
      </c>
      <c r="F81" s="8" t="s">
        <v>10</v>
      </c>
      <c r="G81" s="9">
        <v>45265.0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3">
        <v>45160.0</v>
      </c>
      <c r="B82" s="19" t="s">
        <v>84</v>
      </c>
      <c r="C82" s="5" t="s">
        <v>9</v>
      </c>
      <c r="D82" s="12">
        <v>1.0</v>
      </c>
      <c r="E82" s="16">
        <v>2300.0</v>
      </c>
      <c r="F82" s="8" t="s">
        <v>10</v>
      </c>
      <c r="G82" s="9">
        <v>45498.0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3">
        <v>45160.0</v>
      </c>
      <c r="B83" s="19" t="s">
        <v>85</v>
      </c>
      <c r="C83" s="5" t="s">
        <v>83</v>
      </c>
      <c r="D83" s="12">
        <v>2.0</v>
      </c>
      <c r="E83" s="16">
        <v>6800.0</v>
      </c>
      <c r="F83" s="8" t="s">
        <v>10</v>
      </c>
      <c r="G83" s="9">
        <v>45283.0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3">
        <v>45161.0</v>
      </c>
      <c r="B84" s="19" t="s">
        <v>86</v>
      </c>
      <c r="C84" s="5" t="s">
        <v>9</v>
      </c>
      <c r="D84" s="12">
        <v>1.0</v>
      </c>
      <c r="E84" s="16">
        <v>1300.0</v>
      </c>
      <c r="F84" s="8" t="s">
        <v>10</v>
      </c>
      <c r="G84" s="9">
        <v>45498.0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3">
        <v>45161.0</v>
      </c>
      <c r="B85" s="19" t="s">
        <v>60</v>
      </c>
      <c r="C85" s="5" t="s">
        <v>9</v>
      </c>
      <c r="D85" s="12">
        <v>2.0</v>
      </c>
      <c r="E85" s="16">
        <v>4400.0</v>
      </c>
      <c r="F85" s="8" t="s">
        <v>10</v>
      </c>
      <c r="G85" s="9">
        <v>45498.0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3">
        <v>45162.0</v>
      </c>
      <c r="B86" s="19" t="s">
        <v>87</v>
      </c>
      <c r="C86" s="5" t="s">
        <v>9</v>
      </c>
      <c r="D86" s="12">
        <v>2.0</v>
      </c>
      <c r="E86" s="16">
        <v>1100.0</v>
      </c>
      <c r="F86" s="8" t="s">
        <v>10</v>
      </c>
      <c r="G86" s="9">
        <v>45498.0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3">
        <v>45164.0</v>
      </c>
      <c r="B87" s="19" t="s">
        <v>88</v>
      </c>
      <c r="C87" s="5" t="s">
        <v>9</v>
      </c>
      <c r="D87" s="12">
        <v>2.0</v>
      </c>
      <c r="E87" s="16">
        <v>3600.0</v>
      </c>
      <c r="F87" s="8" t="s">
        <v>10</v>
      </c>
      <c r="G87" s="9">
        <v>45498.0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3">
        <v>45166.0</v>
      </c>
      <c r="B88" s="19" t="s">
        <v>12</v>
      </c>
      <c r="C88" s="5" t="s">
        <v>9</v>
      </c>
      <c r="D88" s="12">
        <v>2.0</v>
      </c>
      <c r="E88" s="16">
        <v>2900.0</v>
      </c>
      <c r="F88" s="8" t="s">
        <v>10</v>
      </c>
      <c r="G88" s="9">
        <v>45498.0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3">
        <v>45167.0</v>
      </c>
      <c r="B89" s="19" t="s">
        <v>89</v>
      </c>
      <c r="C89" s="5" t="s">
        <v>83</v>
      </c>
      <c r="D89" s="12">
        <v>2.0</v>
      </c>
      <c r="E89" s="16">
        <v>2300.0</v>
      </c>
      <c r="F89" s="8" t="s">
        <v>10</v>
      </c>
      <c r="G89" s="9">
        <v>45288.0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3">
        <v>45167.0</v>
      </c>
      <c r="B90" s="19" t="s">
        <v>90</v>
      </c>
      <c r="C90" s="5" t="s">
        <v>9</v>
      </c>
      <c r="D90" s="12">
        <v>1.0</v>
      </c>
      <c r="E90" s="16">
        <v>3000.0</v>
      </c>
      <c r="F90" s="8" t="s">
        <v>10</v>
      </c>
      <c r="G90" s="9">
        <v>45498.0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3">
        <v>45168.0</v>
      </c>
      <c r="B91" s="19" t="s">
        <v>91</v>
      </c>
      <c r="C91" s="5" t="s">
        <v>9</v>
      </c>
      <c r="D91" s="12">
        <v>1.0</v>
      </c>
      <c r="E91" s="16">
        <v>1200.0</v>
      </c>
      <c r="F91" s="8" t="s">
        <v>10</v>
      </c>
      <c r="G91" s="9">
        <v>45498.0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3">
        <v>45168.0</v>
      </c>
      <c r="B92" s="19" t="s">
        <v>92</v>
      </c>
      <c r="C92" s="5" t="s">
        <v>9</v>
      </c>
      <c r="D92" s="12">
        <v>2.0</v>
      </c>
      <c r="E92" s="16">
        <v>1800.0</v>
      </c>
      <c r="F92" s="8" t="s">
        <v>10</v>
      </c>
      <c r="G92" s="9">
        <v>45498.0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3">
        <v>45169.0</v>
      </c>
      <c r="B93" s="19" t="s">
        <v>48</v>
      </c>
      <c r="C93" s="5" t="s">
        <v>9</v>
      </c>
      <c r="D93" s="12">
        <v>1.0</v>
      </c>
      <c r="E93" s="16">
        <v>1000.0</v>
      </c>
      <c r="F93" s="8" t="s">
        <v>10</v>
      </c>
      <c r="G93" s="9">
        <v>45498.0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3">
        <v>45169.0</v>
      </c>
      <c r="B94" s="19" t="s">
        <v>93</v>
      </c>
      <c r="C94" s="5" t="s">
        <v>9</v>
      </c>
      <c r="D94" s="12">
        <v>4.0</v>
      </c>
      <c r="E94" s="16">
        <v>3920.0</v>
      </c>
      <c r="F94" s="8" t="s">
        <v>10</v>
      </c>
      <c r="G94" s="9">
        <v>45498.0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3">
        <v>45170.0</v>
      </c>
      <c r="B95" s="19" t="s">
        <v>94</v>
      </c>
      <c r="C95" s="5" t="s">
        <v>9</v>
      </c>
      <c r="D95" s="12">
        <v>1.0</v>
      </c>
      <c r="E95" s="16">
        <v>1800.0</v>
      </c>
      <c r="F95" s="8" t="s">
        <v>10</v>
      </c>
      <c r="G95" s="9">
        <v>45563.0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3">
        <v>45170.0</v>
      </c>
      <c r="B96" s="19" t="s">
        <v>95</v>
      </c>
      <c r="C96" s="5" t="s">
        <v>9</v>
      </c>
      <c r="D96" s="12">
        <v>2.0</v>
      </c>
      <c r="E96" s="16">
        <v>3500.0</v>
      </c>
      <c r="F96" s="8" t="s">
        <v>10</v>
      </c>
      <c r="G96" s="9">
        <v>45563.0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3">
        <v>45173.0</v>
      </c>
      <c r="B97" s="19" t="s">
        <v>96</v>
      </c>
      <c r="C97" s="5" t="s">
        <v>9</v>
      </c>
      <c r="D97" s="12">
        <v>2.0</v>
      </c>
      <c r="E97" s="16">
        <v>2000.0</v>
      </c>
      <c r="F97" s="8" t="s">
        <v>10</v>
      </c>
      <c r="G97" s="9">
        <v>45563.0</v>
      </c>
      <c r="H97" s="8" t="s">
        <v>97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3">
        <v>45176.0</v>
      </c>
      <c r="B98" s="19" t="s">
        <v>58</v>
      </c>
      <c r="C98" s="5" t="s">
        <v>83</v>
      </c>
      <c r="D98" s="12">
        <v>4.0</v>
      </c>
      <c r="E98" s="16">
        <v>6000.0</v>
      </c>
      <c r="F98" s="8" t="s">
        <v>10</v>
      </c>
      <c r="G98" s="9">
        <v>45306.0</v>
      </c>
      <c r="H98" s="8" t="s">
        <v>97</v>
      </c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13">
        <v>45177.0</v>
      </c>
      <c r="B99" s="19" t="s">
        <v>98</v>
      </c>
      <c r="C99" s="5" t="s">
        <v>83</v>
      </c>
      <c r="D99" s="12">
        <v>1.0</v>
      </c>
      <c r="E99" s="16">
        <v>2000.0</v>
      </c>
      <c r="F99" s="8" t="s">
        <v>10</v>
      </c>
      <c r="G99" s="9">
        <v>45350.0</v>
      </c>
      <c r="H99" s="8" t="s">
        <v>97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3">
        <v>45177.0</v>
      </c>
      <c r="B100" s="19" t="s">
        <v>60</v>
      </c>
      <c r="C100" s="5" t="s">
        <v>9</v>
      </c>
      <c r="D100" s="12">
        <v>1.0</v>
      </c>
      <c r="E100" s="16">
        <v>2200.0</v>
      </c>
      <c r="F100" s="8" t="s">
        <v>10</v>
      </c>
      <c r="G100" s="9">
        <v>45563.0</v>
      </c>
      <c r="H100" s="8" t="s">
        <v>97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3">
        <v>45177.0</v>
      </c>
      <c r="B101" s="19" t="s">
        <v>89</v>
      </c>
      <c r="C101" s="5" t="s">
        <v>83</v>
      </c>
      <c r="D101" s="12">
        <v>2.0</v>
      </c>
      <c r="E101" s="16">
        <v>2300.0</v>
      </c>
      <c r="F101" s="8" t="s">
        <v>10</v>
      </c>
      <c r="G101" s="9">
        <v>45350.0</v>
      </c>
      <c r="H101" s="8" t="s">
        <v>97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3">
        <v>45178.0</v>
      </c>
      <c r="B102" s="19" t="s">
        <v>99</v>
      </c>
      <c r="C102" s="5" t="s">
        <v>83</v>
      </c>
      <c r="D102" s="12">
        <v>2.0</v>
      </c>
      <c r="E102" s="16">
        <v>1240.0</v>
      </c>
      <c r="F102" s="8" t="s">
        <v>10</v>
      </c>
      <c r="G102" s="9">
        <v>45350.0</v>
      </c>
      <c r="H102" s="8" t="s">
        <v>97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3">
        <v>45180.0</v>
      </c>
      <c r="B103" s="19" t="s">
        <v>19</v>
      </c>
      <c r="C103" s="5" t="s">
        <v>9</v>
      </c>
      <c r="D103" s="12">
        <v>1.0</v>
      </c>
      <c r="E103" s="16">
        <v>1400.0</v>
      </c>
      <c r="F103" s="8" t="s">
        <v>10</v>
      </c>
      <c r="G103" s="9">
        <v>45563.0</v>
      </c>
      <c r="H103" s="8" t="s">
        <v>97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3">
        <v>45181.0</v>
      </c>
      <c r="B104" s="19" t="s">
        <v>100</v>
      </c>
      <c r="C104" s="5" t="s">
        <v>9</v>
      </c>
      <c r="D104" s="12">
        <v>1.0</v>
      </c>
      <c r="E104" s="23">
        <v>750.0</v>
      </c>
      <c r="F104" s="8" t="s">
        <v>10</v>
      </c>
      <c r="G104" s="9">
        <v>45563.0</v>
      </c>
      <c r="H104" s="8" t="s">
        <v>97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3">
        <v>45181.0</v>
      </c>
      <c r="B105" s="19" t="s">
        <v>101</v>
      </c>
      <c r="C105" s="5" t="s">
        <v>9</v>
      </c>
      <c r="D105" s="12">
        <v>1.0</v>
      </c>
      <c r="E105" s="23">
        <v>1380.0</v>
      </c>
      <c r="F105" s="8" t="s">
        <v>10</v>
      </c>
      <c r="G105" s="9">
        <v>45563.0</v>
      </c>
      <c r="H105" s="8" t="s">
        <v>97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3">
        <v>45182.0</v>
      </c>
      <c r="B106" s="19" t="s">
        <v>102</v>
      </c>
      <c r="C106" s="5" t="s">
        <v>9</v>
      </c>
      <c r="D106" s="12">
        <v>1.0</v>
      </c>
      <c r="E106" s="16">
        <v>1400.0</v>
      </c>
      <c r="F106" s="8" t="s">
        <v>10</v>
      </c>
      <c r="G106" s="9">
        <v>45563.0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3">
        <v>45182.0</v>
      </c>
      <c r="B107" s="19" t="s">
        <v>103</v>
      </c>
      <c r="C107" s="5" t="s">
        <v>83</v>
      </c>
      <c r="D107" s="12">
        <v>1.0</v>
      </c>
      <c r="E107" s="16">
        <v>1750.0</v>
      </c>
      <c r="F107" s="8" t="s">
        <v>10</v>
      </c>
      <c r="G107" s="9">
        <v>45308.0</v>
      </c>
      <c r="H107" s="8" t="s">
        <v>97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3">
        <v>45182.0</v>
      </c>
      <c r="B108" s="19" t="s">
        <v>104</v>
      </c>
      <c r="C108" s="5" t="s">
        <v>83</v>
      </c>
      <c r="D108" s="12">
        <v>2.0</v>
      </c>
      <c r="E108" s="16">
        <v>1960.0</v>
      </c>
      <c r="F108" s="8" t="s">
        <v>10</v>
      </c>
      <c r="G108" s="9">
        <v>45308.0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3">
        <v>45182.0</v>
      </c>
      <c r="B109" s="19" t="s">
        <v>105</v>
      </c>
      <c r="C109" s="5" t="s">
        <v>9</v>
      </c>
      <c r="D109" s="12">
        <v>2.0</v>
      </c>
      <c r="E109" s="16">
        <v>3800.0</v>
      </c>
      <c r="F109" s="8" t="s">
        <v>10</v>
      </c>
      <c r="G109" s="9">
        <v>45563.0</v>
      </c>
      <c r="H109" s="8" t="s">
        <v>97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3">
        <v>45184.0</v>
      </c>
      <c r="B110" s="19" t="s">
        <v>58</v>
      </c>
      <c r="C110" s="5" t="s">
        <v>83</v>
      </c>
      <c r="D110" s="12">
        <v>4.0</v>
      </c>
      <c r="E110" s="16">
        <v>6000.0</v>
      </c>
      <c r="F110" s="8" t="s">
        <v>10</v>
      </c>
      <c r="G110" s="9">
        <v>45390.0</v>
      </c>
      <c r="H110" s="8" t="s">
        <v>97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3">
        <v>45185.0</v>
      </c>
      <c r="B111" s="19" t="s">
        <v>106</v>
      </c>
      <c r="C111" s="5" t="s">
        <v>83</v>
      </c>
      <c r="D111" s="12">
        <v>2.0</v>
      </c>
      <c r="E111" s="16">
        <v>2100.0</v>
      </c>
      <c r="F111" s="8" t="s">
        <v>10</v>
      </c>
      <c r="G111" s="9">
        <v>45390.0</v>
      </c>
      <c r="H111" s="8" t="s">
        <v>97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3">
        <v>45185.0</v>
      </c>
      <c r="B112" s="19" t="s">
        <v>107</v>
      </c>
      <c r="C112" s="5" t="s">
        <v>9</v>
      </c>
      <c r="D112" s="12">
        <v>2.0</v>
      </c>
      <c r="E112" s="16">
        <v>5700.0</v>
      </c>
      <c r="F112" s="8" t="s">
        <v>10</v>
      </c>
      <c r="G112" s="9">
        <v>45563.0</v>
      </c>
      <c r="H112" s="8" t="s">
        <v>97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3">
        <v>45194.0</v>
      </c>
      <c r="B113" s="19" t="s">
        <v>108</v>
      </c>
      <c r="C113" s="5" t="s">
        <v>9</v>
      </c>
      <c r="D113" s="12">
        <v>2.0</v>
      </c>
      <c r="E113" s="16">
        <v>2500.0</v>
      </c>
      <c r="F113" s="8" t="s">
        <v>10</v>
      </c>
      <c r="G113" s="9">
        <v>45563.0</v>
      </c>
      <c r="H113" s="8" t="s">
        <v>97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3">
        <v>45195.0</v>
      </c>
      <c r="B114" s="19" t="s">
        <v>109</v>
      </c>
      <c r="C114" s="5" t="s">
        <v>9</v>
      </c>
      <c r="D114" s="12">
        <v>4.0</v>
      </c>
      <c r="E114" s="16">
        <v>7600.0</v>
      </c>
      <c r="F114" s="8" t="s">
        <v>10</v>
      </c>
      <c r="G114" s="9">
        <v>47024.0</v>
      </c>
      <c r="H114" s="8" t="s">
        <v>97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3">
        <v>45196.0</v>
      </c>
      <c r="B115" s="19" t="s">
        <v>110</v>
      </c>
      <c r="C115" s="5" t="s">
        <v>9</v>
      </c>
      <c r="D115" s="12">
        <v>4.0</v>
      </c>
      <c r="E115" s="16">
        <v>3800.0</v>
      </c>
      <c r="F115" s="8" t="s">
        <v>10</v>
      </c>
      <c r="G115" s="9">
        <v>45563.0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3">
        <v>45196.0</v>
      </c>
      <c r="B116" s="19" t="s">
        <v>111</v>
      </c>
      <c r="C116" s="5" t="s">
        <v>83</v>
      </c>
      <c r="D116" s="12">
        <v>2.0</v>
      </c>
      <c r="E116" s="16">
        <v>5200.0</v>
      </c>
      <c r="F116" s="8" t="s">
        <v>10</v>
      </c>
      <c r="G116" s="9">
        <v>45391.0</v>
      </c>
      <c r="H116" s="8" t="s">
        <v>97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3">
        <v>45198.0</v>
      </c>
      <c r="B117" s="19" t="s">
        <v>112</v>
      </c>
      <c r="C117" s="5" t="s">
        <v>113</v>
      </c>
      <c r="D117" s="12">
        <v>12.0</v>
      </c>
      <c r="E117" s="16">
        <v>7800.0</v>
      </c>
      <c r="F117" s="8" t="s">
        <v>10</v>
      </c>
      <c r="G117" s="9">
        <v>45346.0</v>
      </c>
      <c r="H117" s="8" t="s">
        <v>97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3">
        <v>45201.0</v>
      </c>
      <c r="B118" s="19" t="s">
        <v>114</v>
      </c>
      <c r="C118" s="5" t="s">
        <v>9</v>
      </c>
      <c r="D118" s="12">
        <v>1.0</v>
      </c>
      <c r="E118" s="24">
        <v>1600.0</v>
      </c>
      <c r="F118" s="25" t="s">
        <v>10</v>
      </c>
      <c r="G118" s="26">
        <v>45653.0</v>
      </c>
      <c r="H118" s="8" t="s">
        <v>97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3">
        <v>45201.0</v>
      </c>
      <c r="B119" s="19" t="s">
        <v>75</v>
      </c>
      <c r="C119" s="5" t="s">
        <v>9</v>
      </c>
      <c r="D119" s="12">
        <v>2.0</v>
      </c>
      <c r="E119" s="24">
        <v>1800.0</v>
      </c>
      <c r="F119" s="25" t="s">
        <v>10</v>
      </c>
      <c r="G119" s="26">
        <v>45653.0</v>
      </c>
      <c r="H119" s="8" t="s">
        <v>97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3">
        <v>45201.0</v>
      </c>
      <c r="B120" s="19" t="s">
        <v>115</v>
      </c>
      <c r="C120" s="5" t="s">
        <v>9</v>
      </c>
      <c r="D120" s="12">
        <v>2.0</v>
      </c>
      <c r="E120" s="24">
        <v>2200.0</v>
      </c>
      <c r="F120" s="25" t="s">
        <v>10</v>
      </c>
      <c r="G120" s="26">
        <v>45653.0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3">
        <v>45201.0</v>
      </c>
      <c r="B121" s="19" t="s">
        <v>52</v>
      </c>
      <c r="C121" s="5" t="s">
        <v>9</v>
      </c>
      <c r="D121" s="12">
        <v>4.0</v>
      </c>
      <c r="E121" s="24">
        <v>5400.0</v>
      </c>
      <c r="F121" s="25" t="s">
        <v>10</v>
      </c>
      <c r="G121" s="26">
        <v>45653.0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3">
        <v>45202.0</v>
      </c>
      <c r="B122" s="19" t="s">
        <v>116</v>
      </c>
      <c r="C122" s="5" t="s">
        <v>9</v>
      </c>
      <c r="D122" s="12">
        <v>2.0</v>
      </c>
      <c r="E122" s="24">
        <v>2400.0</v>
      </c>
      <c r="F122" s="25" t="s">
        <v>10</v>
      </c>
      <c r="G122" s="26">
        <v>45653.0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3">
        <v>45203.0</v>
      </c>
      <c r="B123" s="19" t="s">
        <v>117</v>
      </c>
      <c r="C123" s="5" t="s">
        <v>113</v>
      </c>
      <c r="D123" s="12">
        <v>6.0</v>
      </c>
      <c r="E123" s="16">
        <v>3120.0</v>
      </c>
      <c r="F123" s="8" t="s">
        <v>10</v>
      </c>
      <c r="G123" s="9">
        <v>45346.0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3">
        <v>45203.0</v>
      </c>
      <c r="B124" s="19" t="s">
        <v>118</v>
      </c>
      <c r="C124" s="5" t="s">
        <v>113</v>
      </c>
      <c r="D124" s="12">
        <v>6.0</v>
      </c>
      <c r="E124" s="16">
        <v>5100.0</v>
      </c>
      <c r="F124" s="8" t="s">
        <v>10</v>
      </c>
      <c r="G124" s="9">
        <v>45346.0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3">
        <v>45204.0</v>
      </c>
      <c r="B125" s="19" t="s">
        <v>119</v>
      </c>
      <c r="C125" s="5" t="s">
        <v>9</v>
      </c>
      <c r="D125" s="12">
        <v>4.0</v>
      </c>
      <c r="E125" s="24">
        <v>8600.0</v>
      </c>
      <c r="F125" s="25" t="s">
        <v>10</v>
      </c>
      <c r="G125" s="26">
        <v>45653.0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3">
        <v>45206.0</v>
      </c>
      <c r="B126" s="19" t="s">
        <v>120</v>
      </c>
      <c r="C126" s="5" t="s">
        <v>83</v>
      </c>
      <c r="D126" s="12">
        <v>1.0</v>
      </c>
      <c r="E126" s="16">
        <v>1450.0</v>
      </c>
      <c r="F126" s="8" t="s">
        <v>10</v>
      </c>
      <c r="G126" s="9">
        <v>45391.0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3">
        <v>45208.0</v>
      </c>
      <c r="B127" s="19" t="s">
        <v>121</v>
      </c>
      <c r="C127" s="5" t="s">
        <v>9</v>
      </c>
      <c r="D127" s="12">
        <v>4.0</v>
      </c>
      <c r="E127" s="24">
        <v>12000.0</v>
      </c>
      <c r="F127" s="25" t="s">
        <v>10</v>
      </c>
      <c r="G127" s="26">
        <v>45653.0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3">
        <v>45209.0</v>
      </c>
      <c r="B128" s="19" t="s">
        <v>114</v>
      </c>
      <c r="C128" s="5" t="s">
        <v>9</v>
      </c>
      <c r="D128" s="12">
        <v>4.0</v>
      </c>
      <c r="E128" s="24">
        <v>6400.0</v>
      </c>
      <c r="F128" s="25" t="s">
        <v>10</v>
      </c>
      <c r="G128" s="26">
        <v>45653.0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3">
        <v>45211.0</v>
      </c>
      <c r="B129" s="19" t="s">
        <v>73</v>
      </c>
      <c r="C129" s="5" t="s">
        <v>9</v>
      </c>
      <c r="D129" s="12">
        <v>4.0</v>
      </c>
      <c r="E129" s="16">
        <v>6200.0</v>
      </c>
      <c r="F129" s="8" t="s">
        <v>122</v>
      </c>
      <c r="G129" s="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3">
        <v>45212.0</v>
      </c>
      <c r="B130" s="19" t="s">
        <v>14</v>
      </c>
      <c r="C130" s="5" t="s">
        <v>9</v>
      </c>
      <c r="D130" s="12">
        <v>2.0</v>
      </c>
      <c r="E130" s="16">
        <v>5600.0</v>
      </c>
      <c r="F130" s="8" t="s">
        <v>122</v>
      </c>
      <c r="G130" s="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3">
        <v>45217.0</v>
      </c>
      <c r="B131" s="19" t="s">
        <v>123</v>
      </c>
      <c r="C131" s="5" t="s">
        <v>9</v>
      </c>
      <c r="D131" s="12">
        <v>1.0</v>
      </c>
      <c r="E131" s="16">
        <v>2950.0</v>
      </c>
      <c r="F131" s="8" t="s">
        <v>122</v>
      </c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3">
        <v>45223.0</v>
      </c>
      <c r="B132" s="19" t="s">
        <v>124</v>
      </c>
      <c r="C132" s="5" t="s">
        <v>9</v>
      </c>
      <c r="D132" s="12">
        <v>4.0</v>
      </c>
      <c r="E132" s="16">
        <v>7600.0</v>
      </c>
      <c r="F132" s="8" t="s">
        <v>122</v>
      </c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3">
        <v>45224.0</v>
      </c>
      <c r="B133" s="19" t="s">
        <v>125</v>
      </c>
      <c r="C133" s="5" t="s">
        <v>126</v>
      </c>
      <c r="D133" s="12">
        <v>2.0</v>
      </c>
      <c r="E133" s="16">
        <v>3700.0</v>
      </c>
      <c r="F133" s="8" t="s">
        <v>10</v>
      </c>
      <c r="G133" s="9">
        <v>45231.0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3">
        <v>45226.0</v>
      </c>
      <c r="B134" s="19" t="s">
        <v>127</v>
      </c>
      <c r="C134" s="5" t="s">
        <v>128</v>
      </c>
      <c r="D134" s="12">
        <v>1.0</v>
      </c>
      <c r="E134" s="16">
        <v>1200.0</v>
      </c>
      <c r="F134" s="8" t="s">
        <v>10</v>
      </c>
      <c r="G134" s="9">
        <v>45226.0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3">
        <v>45226.0</v>
      </c>
      <c r="B135" s="19" t="s">
        <v>129</v>
      </c>
      <c r="C135" s="5" t="s">
        <v>9</v>
      </c>
      <c r="D135" s="12">
        <v>1.0</v>
      </c>
      <c r="E135" s="16">
        <v>1800.0</v>
      </c>
      <c r="F135" s="8" t="s">
        <v>122</v>
      </c>
      <c r="G135" s="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3">
        <v>45226.0</v>
      </c>
      <c r="B136" s="19" t="s">
        <v>130</v>
      </c>
      <c r="C136" s="5" t="s">
        <v>9</v>
      </c>
      <c r="D136" s="12">
        <v>4.0</v>
      </c>
      <c r="E136" s="16">
        <v>2200.0</v>
      </c>
      <c r="F136" s="8" t="s">
        <v>122</v>
      </c>
      <c r="G136" s="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3">
        <v>45226.0</v>
      </c>
      <c r="B137" s="19" t="s">
        <v>95</v>
      </c>
      <c r="C137" s="5" t="s">
        <v>9</v>
      </c>
      <c r="D137" s="12">
        <v>4.0</v>
      </c>
      <c r="E137" s="16">
        <v>6800.0</v>
      </c>
      <c r="F137" s="8" t="s">
        <v>122</v>
      </c>
      <c r="G137" s="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3">
        <v>45229.0</v>
      </c>
      <c r="B138" s="19" t="s">
        <v>131</v>
      </c>
      <c r="C138" s="5" t="s">
        <v>132</v>
      </c>
      <c r="D138" s="12">
        <v>1.0</v>
      </c>
      <c r="E138" s="16">
        <v>402.0</v>
      </c>
      <c r="F138" s="8" t="s">
        <v>10</v>
      </c>
      <c r="G138" s="9">
        <v>45229.0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3">
        <v>45230.0</v>
      </c>
      <c r="B139" s="19" t="s">
        <v>92</v>
      </c>
      <c r="C139" s="5" t="s">
        <v>9</v>
      </c>
      <c r="D139" s="12">
        <v>2.0</v>
      </c>
      <c r="E139" s="16">
        <v>1800.0</v>
      </c>
      <c r="F139" s="8" t="s">
        <v>122</v>
      </c>
      <c r="G139" s="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3">
        <v>45230.0</v>
      </c>
      <c r="B140" s="19" t="s">
        <v>12</v>
      </c>
      <c r="C140" s="5" t="s">
        <v>133</v>
      </c>
      <c r="D140" s="12">
        <v>2.0</v>
      </c>
      <c r="E140" s="16">
        <v>2800.0</v>
      </c>
      <c r="F140" s="8" t="s">
        <v>10</v>
      </c>
      <c r="G140" s="9">
        <v>45230.0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3">
        <v>45231.0</v>
      </c>
      <c r="B141" s="19" t="s">
        <v>134</v>
      </c>
      <c r="C141" s="5" t="s">
        <v>9</v>
      </c>
      <c r="D141" s="12">
        <v>2.0</v>
      </c>
      <c r="E141" s="16">
        <v>2400.0</v>
      </c>
      <c r="F141" s="8" t="s">
        <v>122</v>
      </c>
      <c r="G141" s="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3">
        <v>45231.0</v>
      </c>
      <c r="B142" s="19" t="s">
        <v>135</v>
      </c>
      <c r="C142" s="5" t="s">
        <v>136</v>
      </c>
      <c r="D142" s="12">
        <v>4.0</v>
      </c>
      <c r="E142" s="16">
        <v>3800.0</v>
      </c>
      <c r="F142" s="8" t="s">
        <v>10</v>
      </c>
      <c r="G142" s="9">
        <v>45231.0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3">
        <v>45233.0</v>
      </c>
      <c r="B143" s="19" t="s">
        <v>137</v>
      </c>
      <c r="C143" s="5" t="s">
        <v>138</v>
      </c>
      <c r="D143" s="12">
        <v>1.0</v>
      </c>
      <c r="E143" s="16">
        <v>550.0</v>
      </c>
      <c r="F143" s="8" t="s">
        <v>10</v>
      </c>
      <c r="G143" s="9">
        <v>45233.0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3">
        <v>45237.0</v>
      </c>
      <c r="B144" s="19" t="s">
        <v>55</v>
      </c>
      <c r="C144" s="5" t="s">
        <v>9</v>
      </c>
      <c r="D144" s="12">
        <v>1.0</v>
      </c>
      <c r="E144" s="16">
        <v>1150.0</v>
      </c>
      <c r="F144" s="8" t="s">
        <v>122</v>
      </c>
      <c r="G144" s="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3">
        <v>45237.0</v>
      </c>
      <c r="B145" s="19" t="s">
        <v>139</v>
      </c>
      <c r="C145" s="5" t="s">
        <v>133</v>
      </c>
      <c r="D145" s="12">
        <v>4.0</v>
      </c>
      <c r="E145" s="16">
        <v>2800.0</v>
      </c>
      <c r="F145" s="8" t="s">
        <v>10</v>
      </c>
      <c r="G145" s="9">
        <v>45237.0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3">
        <v>45238.0</v>
      </c>
      <c r="B146" s="19" t="s">
        <v>140</v>
      </c>
      <c r="C146" s="5" t="s">
        <v>9</v>
      </c>
      <c r="D146" s="12">
        <v>1.0</v>
      </c>
      <c r="E146" s="16">
        <v>1000.0</v>
      </c>
      <c r="F146" s="8" t="s">
        <v>122</v>
      </c>
      <c r="G146" s="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3">
        <v>45241.0</v>
      </c>
      <c r="B147" s="19" t="s">
        <v>141</v>
      </c>
      <c r="C147" s="5" t="s">
        <v>9</v>
      </c>
      <c r="D147" s="12">
        <v>2.0</v>
      </c>
      <c r="E147" s="16">
        <v>2700.0</v>
      </c>
      <c r="F147" s="8" t="s">
        <v>122</v>
      </c>
      <c r="G147" s="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3">
        <v>45243.0</v>
      </c>
      <c r="B148" s="19" t="s">
        <v>142</v>
      </c>
      <c r="C148" s="5" t="s">
        <v>143</v>
      </c>
      <c r="D148" s="12">
        <v>2.0</v>
      </c>
      <c r="E148" s="16">
        <v>2600.0</v>
      </c>
      <c r="F148" s="8" t="s">
        <v>10</v>
      </c>
      <c r="G148" s="9">
        <v>45243.0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3">
        <v>45243.0</v>
      </c>
      <c r="B149" s="19" t="s">
        <v>144</v>
      </c>
      <c r="C149" s="5" t="s">
        <v>133</v>
      </c>
      <c r="D149" s="12">
        <v>2.0</v>
      </c>
      <c r="E149" s="16">
        <v>3700.0</v>
      </c>
      <c r="F149" s="8" t="s">
        <v>10</v>
      </c>
      <c r="G149" s="9">
        <v>45243.0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3">
        <v>45244.0</v>
      </c>
      <c r="B150" s="19" t="s">
        <v>145</v>
      </c>
      <c r="C150" s="5" t="s">
        <v>146</v>
      </c>
      <c r="D150" s="12">
        <v>2.0</v>
      </c>
      <c r="E150" s="16">
        <v>2230.0</v>
      </c>
      <c r="F150" s="8" t="s">
        <v>10</v>
      </c>
      <c r="G150" s="9">
        <v>45244.0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3">
        <v>45245.0</v>
      </c>
      <c r="B151" s="19" t="s">
        <v>147</v>
      </c>
      <c r="C151" s="5" t="s">
        <v>138</v>
      </c>
      <c r="D151" s="12">
        <v>3.0</v>
      </c>
      <c r="E151" s="16">
        <v>1650.0</v>
      </c>
      <c r="F151" s="8" t="s">
        <v>10</v>
      </c>
      <c r="G151" s="9">
        <v>45245.0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3">
        <v>45245.0</v>
      </c>
      <c r="B152" s="19" t="s">
        <v>78</v>
      </c>
      <c r="C152" s="5" t="s">
        <v>138</v>
      </c>
      <c r="D152" s="12">
        <v>4.0</v>
      </c>
      <c r="E152" s="16">
        <v>3480.0</v>
      </c>
      <c r="F152" s="8" t="s">
        <v>10</v>
      </c>
      <c r="G152" s="9">
        <v>45245.0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3">
        <v>45246.0</v>
      </c>
      <c r="B153" s="19" t="s">
        <v>87</v>
      </c>
      <c r="C153" s="5" t="s">
        <v>148</v>
      </c>
      <c r="D153" s="12">
        <v>4.0</v>
      </c>
      <c r="E153" s="16">
        <v>2160.0</v>
      </c>
      <c r="F153" s="8" t="s">
        <v>10</v>
      </c>
      <c r="G153" s="9">
        <v>45246.0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3">
        <v>45247.0</v>
      </c>
      <c r="B154" s="19" t="s">
        <v>149</v>
      </c>
      <c r="C154" s="5" t="s">
        <v>138</v>
      </c>
      <c r="D154" s="12">
        <v>1.0</v>
      </c>
      <c r="E154" s="16">
        <v>1250.0</v>
      </c>
      <c r="F154" s="8" t="s">
        <v>10</v>
      </c>
      <c r="G154" s="9">
        <v>45247.0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3">
        <v>45247.0</v>
      </c>
      <c r="B155" s="19" t="s">
        <v>150</v>
      </c>
      <c r="C155" s="5" t="s">
        <v>133</v>
      </c>
      <c r="D155" s="12">
        <v>1.0</v>
      </c>
      <c r="E155" s="16">
        <v>1250.0</v>
      </c>
      <c r="F155" s="8" t="s">
        <v>10</v>
      </c>
      <c r="G155" s="9">
        <v>45247.0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3">
        <v>45250.0</v>
      </c>
      <c r="B156" s="19" t="s">
        <v>151</v>
      </c>
      <c r="C156" s="5" t="s">
        <v>132</v>
      </c>
      <c r="D156" s="12">
        <v>1.0</v>
      </c>
      <c r="E156" s="16">
        <v>604.0</v>
      </c>
      <c r="F156" s="8" t="s">
        <v>10</v>
      </c>
      <c r="G156" s="9">
        <v>45250.0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3">
        <v>45250.0</v>
      </c>
      <c r="B157" s="19" t="s">
        <v>152</v>
      </c>
      <c r="C157" s="5" t="s">
        <v>138</v>
      </c>
      <c r="D157" s="12">
        <v>4.0</v>
      </c>
      <c r="E157" s="16">
        <v>3340.0</v>
      </c>
      <c r="F157" s="8" t="s">
        <v>10</v>
      </c>
      <c r="G157" s="9">
        <v>45250.0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3">
        <v>45251.0</v>
      </c>
      <c r="B158" s="19" t="s">
        <v>153</v>
      </c>
      <c r="C158" s="5" t="s">
        <v>9</v>
      </c>
      <c r="D158" s="12">
        <v>1.0</v>
      </c>
      <c r="E158" s="16">
        <v>2500.0</v>
      </c>
      <c r="F158" s="8" t="s">
        <v>122</v>
      </c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3">
        <v>45252.0</v>
      </c>
      <c r="B159" s="19" t="s">
        <v>32</v>
      </c>
      <c r="C159" s="5" t="s">
        <v>154</v>
      </c>
      <c r="D159" s="12">
        <v>1.0</v>
      </c>
      <c r="E159" s="16">
        <v>712.0</v>
      </c>
      <c r="F159" s="8" t="s">
        <v>10</v>
      </c>
      <c r="G159" s="9">
        <v>45252.0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3">
        <v>45252.0</v>
      </c>
      <c r="B160" s="19" t="s">
        <v>155</v>
      </c>
      <c r="C160" s="5" t="s">
        <v>156</v>
      </c>
      <c r="D160" s="12">
        <v>2.0</v>
      </c>
      <c r="E160" s="16">
        <v>1200.0</v>
      </c>
      <c r="F160" s="8" t="s">
        <v>10</v>
      </c>
      <c r="G160" s="9">
        <v>45252.0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3">
        <v>45253.0</v>
      </c>
      <c r="B161" s="19" t="s">
        <v>137</v>
      </c>
      <c r="C161" s="5" t="s">
        <v>138</v>
      </c>
      <c r="D161" s="12">
        <v>2.0</v>
      </c>
      <c r="E161" s="16">
        <v>1100.0</v>
      </c>
      <c r="F161" s="8" t="s">
        <v>10</v>
      </c>
      <c r="G161" s="9">
        <v>45253.0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3">
        <v>45253.0</v>
      </c>
      <c r="B162" s="19" t="s">
        <v>157</v>
      </c>
      <c r="C162" s="5" t="s">
        <v>9</v>
      </c>
      <c r="D162" s="12">
        <v>1.0</v>
      </c>
      <c r="E162" s="16">
        <v>1500.0</v>
      </c>
      <c r="F162" s="8" t="s">
        <v>122</v>
      </c>
      <c r="G162" s="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3">
        <v>45253.0</v>
      </c>
      <c r="B163" s="19" t="s">
        <v>104</v>
      </c>
      <c r="C163" s="5" t="s">
        <v>83</v>
      </c>
      <c r="D163" s="12">
        <v>2.0</v>
      </c>
      <c r="E163" s="16">
        <v>1960.0</v>
      </c>
      <c r="F163" s="8" t="s">
        <v>10</v>
      </c>
      <c r="G163" s="9">
        <v>45423.0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3">
        <v>45253.0</v>
      </c>
      <c r="B164" s="19" t="s">
        <v>94</v>
      </c>
      <c r="C164" s="5" t="s">
        <v>83</v>
      </c>
      <c r="D164" s="12">
        <v>1.0</v>
      </c>
      <c r="E164" s="16">
        <v>2100.0</v>
      </c>
      <c r="F164" s="8" t="s">
        <v>10</v>
      </c>
      <c r="G164" s="9">
        <v>45423.0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3">
        <v>45253.0</v>
      </c>
      <c r="B165" s="19" t="s">
        <v>54</v>
      </c>
      <c r="C165" s="5" t="s">
        <v>9</v>
      </c>
      <c r="D165" s="12">
        <v>4.0</v>
      </c>
      <c r="E165" s="16">
        <v>5000.0</v>
      </c>
      <c r="F165" s="8" t="s">
        <v>122</v>
      </c>
      <c r="G165" s="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3">
        <v>45254.0</v>
      </c>
      <c r="B166" s="19" t="s">
        <v>158</v>
      </c>
      <c r="C166" s="5" t="s">
        <v>159</v>
      </c>
      <c r="D166" s="12">
        <v>2.0</v>
      </c>
      <c r="E166" s="16">
        <v>2500.0</v>
      </c>
      <c r="F166" s="8" t="s">
        <v>10</v>
      </c>
      <c r="G166" s="9">
        <v>45254.0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3">
        <v>45254.0</v>
      </c>
      <c r="B167" s="19" t="s">
        <v>160</v>
      </c>
      <c r="C167" s="5" t="s">
        <v>132</v>
      </c>
      <c r="D167" s="12">
        <v>2.0</v>
      </c>
      <c r="E167" s="16">
        <v>2978.0</v>
      </c>
      <c r="F167" s="8" t="s">
        <v>10</v>
      </c>
      <c r="G167" s="9">
        <v>45254.0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3">
        <v>45255.0</v>
      </c>
      <c r="B168" s="19" t="s">
        <v>161</v>
      </c>
      <c r="C168" s="27" t="s">
        <v>9</v>
      </c>
      <c r="D168" s="12">
        <v>1.0</v>
      </c>
      <c r="E168" s="16">
        <v>1100.0</v>
      </c>
      <c r="F168" s="8" t="s">
        <v>122</v>
      </c>
      <c r="G168" s="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3">
        <v>45255.0</v>
      </c>
      <c r="B169" s="19" t="s">
        <v>160</v>
      </c>
      <c r="C169" s="27" t="s">
        <v>132</v>
      </c>
      <c r="D169" s="12">
        <v>2.0</v>
      </c>
      <c r="E169" s="16">
        <v>2980.0</v>
      </c>
      <c r="F169" s="8" t="s">
        <v>10</v>
      </c>
      <c r="G169" s="9">
        <v>45255.0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3">
        <v>45257.0</v>
      </c>
      <c r="B170" s="19" t="s">
        <v>155</v>
      </c>
      <c r="C170" s="27" t="s">
        <v>156</v>
      </c>
      <c r="D170" s="12">
        <v>2.0</v>
      </c>
      <c r="E170" s="16">
        <v>1210.0</v>
      </c>
      <c r="F170" s="8" t="s">
        <v>10</v>
      </c>
      <c r="G170" s="9">
        <v>45257.0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3">
        <v>45257.0</v>
      </c>
      <c r="B171" s="19" t="s">
        <v>162</v>
      </c>
      <c r="C171" s="27" t="s">
        <v>83</v>
      </c>
      <c r="D171" s="12">
        <v>1.0</v>
      </c>
      <c r="E171" s="16">
        <v>1650.0</v>
      </c>
      <c r="F171" s="8" t="s">
        <v>10</v>
      </c>
      <c r="G171" s="9">
        <v>45257.0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3">
        <v>45257.0</v>
      </c>
      <c r="B172" s="19" t="s">
        <v>163</v>
      </c>
      <c r="C172" s="27" t="s">
        <v>146</v>
      </c>
      <c r="D172" s="12">
        <v>2.0</v>
      </c>
      <c r="E172" s="16">
        <v>1700.0</v>
      </c>
      <c r="F172" s="8" t="s">
        <v>10</v>
      </c>
      <c r="G172" s="9">
        <v>45257.0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3">
        <v>45258.0</v>
      </c>
      <c r="B173" s="19" t="s">
        <v>164</v>
      </c>
      <c r="C173" s="27" t="s">
        <v>132</v>
      </c>
      <c r="D173" s="12">
        <v>2.0</v>
      </c>
      <c r="E173" s="16">
        <v>1550.0</v>
      </c>
      <c r="F173" s="8" t="s">
        <v>10</v>
      </c>
      <c r="G173" s="9">
        <v>45258.0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3">
        <v>45258.0</v>
      </c>
      <c r="B174" s="19" t="s">
        <v>165</v>
      </c>
      <c r="C174" s="27" t="s">
        <v>143</v>
      </c>
      <c r="D174" s="12">
        <v>2.0</v>
      </c>
      <c r="E174" s="16">
        <v>1960.0</v>
      </c>
      <c r="F174" s="8" t="s">
        <v>10</v>
      </c>
      <c r="G174" s="9">
        <v>45259.0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3">
        <v>45258.0</v>
      </c>
      <c r="B175" s="19" t="s">
        <v>166</v>
      </c>
      <c r="C175" s="27" t="s">
        <v>126</v>
      </c>
      <c r="D175" s="12">
        <v>2.0</v>
      </c>
      <c r="E175" s="16">
        <v>3240.0</v>
      </c>
      <c r="F175" s="8" t="s">
        <v>10</v>
      </c>
      <c r="G175" s="9">
        <v>45258.0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3">
        <v>45258.0</v>
      </c>
      <c r="B176" s="19" t="s">
        <v>167</v>
      </c>
      <c r="C176" s="27" t="s">
        <v>132</v>
      </c>
      <c r="D176" s="12">
        <v>2.0</v>
      </c>
      <c r="E176" s="16">
        <v>3800.0</v>
      </c>
      <c r="F176" s="8" t="s">
        <v>10</v>
      </c>
      <c r="G176" s="9">
        <v>45258.0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3">
        <v>45260.0</v>
      </c>
      <c r="B177" s="19" t="s">
        <v>100</v>
      </c>
      <c r="C177" s="27" t="s">
        <v>133</v>
      </c>
      <c r="D177" s="12">
        <v>2.0</v>
      </c>
      <c r="E177" s="16">
        <v>1500.0</v>
      </c>
      <c r="F177" s="8" t="s">
        <v>10</v>
      </c>
      <c r="G177" s="9">
        <v>45260.0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3">
        <v>45260.0</v>
      </c>
      <c r="B178" s="19" t="s">
        <v>168</v>
      </c>
      <c r="C178" s="27" t="s">
        <v>83</v>
      </c>
      <c r="D178" s="12">
        <v>2.0</v>
      </c>
      <c r="E178" s="16">
        <v>3400.0</v>
      </c>
      <c r="F178" s="8" t="s">
        <v>10</v>
      </c>
      <c r="G178" s="9">
        <v>45470.0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3">
        <v>45260.0</v>
      </c>
      <c r="B179" s="19" t="s">
        <v>92</v>
      </c>
      <c r="C179" s="27" t="s">
        <v>143</v>
      </c>
      <c r="D179" s="12">
        <v>4.0</v>
      </c>
      <c r="E179" s="16">
        <v>3600.0</v>
      </c>
      <c r="F179" s="8" t="s">
        <v>10</v>
      </c>
      <c r="G179" s="9">
        <v>45260.0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3">
        <v>45260.0</v>
      </c>
      <c r="B180" s="19" t="s">
        <v>12</v>
      </c>
      <c r="C180" s="27" t="s">
        <v>133</v>
      </c>
      <c r="D180" s="12">
        <v>4.0</v>
      </c>
      <c r="E180" s="16">
        <v>5600.0</v>
      </c>
      <c r="F180" s="8" t="s">
        <v>10</v>
      </c>
      <c r="G180" s="9">
        <v>45260.0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3">
        <v>45261.0</v>
      </c>
      <c r="B181" s="19" t="s">
        <v>61</v>
      </c>
      <c r="C181" s="27" t="s">
        <v>9</v>
      </c>
      <c r="D181" s="12">
        <v>1.0</v>
      </c>
      <c r="E181" s="16">
        <v>580.0</v>
      </c>
      <c r="F181" s="8" t="s">
        <v>122</v>
      </c>
      <c r="G181" s="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3">
        <v>45261.0</v>
      </c>
      <c r="B182" s="19" t="s">
        <v>169</v>
      </c>
      <c r="C182" s="27" t="s">
        <v>156</v>
      </c>
      <c r="D182" s="12">
        <v>2.0</v>
      </c>
      <c r="E182" s="16">
        <v>1067.0</v>
      </c>
      <c r="F182" s="8" t="s">
        <v>10</v>
      </c>
      <c r="G182" s="9">
        <v>45262.0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3">
        <v>45261.0</v>
      </c>
      <c r="B183" s="19" t="s">
        <v>61</v>
      </c>
      <c r="C183" s="27" t="s">
        <v>9</v>
      </c>
      <c r="D183" s="12">
        <v>2.0</v>
      </c>
      <c r="E183" s="16">
        <v>1160.0</v>
      </c>
      <c r="F183" s="8" t="s">
        <v>10</v>
      </c>
      <c r="G183" s="9">
        <v>45261.0</v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3">
        <v>45261.0</v>
      </c>
      <c r="B184" s="19" t="s">
        <v>144</v>
      </c>
      <c r="C184" s="27" t="s">
        <v>133</v>
      </c>
      <c r="D184" s="12">
        <v>2.0</v>
      </c>
      <c r="E184" s="16">
        <v>3700.0</v>
      </c>
      <c r="F184" s="8" t="s">
        <v>10</v>
      </c>
      <c r="G184" s="9">
        <v>45262.0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3">
        <v>45264.0</v>
      </c>
      <c r="B185" s="19" t="s">
        <v>100</v>
      </c>
      <c r="C185" s="27" t="s">
        <v>133</v>
      </c>
      <c r="D185" s="12">
        <v>2.0</v>
      </c>
      <c r="E185" s="16">
        <v>1500.0</v>
      </c>
      <c r="F185" s="8" t="s">
        <v>10</v>
      </c>
      <c r="G185" s="9">
        <v>45264.0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3">
        <v>45264.0</v>
      </c>
      <c r="B186" s="19" t="s">
        <v>170</v>
      </c>
      <c r="C186" s="27" t="s">
        <v>83</v>
      </c>
      <c r="D186" s="12">
        <v>1.0</v>
      </c>
      <c r="E186" s="16">
        <v>1700.0</v>
      </c>
      <c r="F186" s="8" t="s">
        <v>10</v>
      </c>
      <c r="G186" s="9">
        <v>45470.0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3">
        <v>45264.0</v>
      </c>
      <c r="B187" s="19" t="s">
        <v>165</v>
      </c>
      <c r="C187" s="27" t="s">
        <v>143</v>
      </c>
      <c r="D187" s="12">
        <v>2.0</v>
      </c>
      <c r="E187" s="16">
        <v>1960.0</v>
      </c>
      <c r="F187" s="8" t="s">
        <v>10</v>
      </c>
      <c r="G187" s="9">
        <v>45264.0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3">
        <v>45264.0</v>
      </c>
      <c r="B188" s="19" t="s">
        <v>64</v>
      </c>
      <c r="C188" s="27" t="s">
        <v>138</v>
      </c>
      <c r="D188" s="12">
        <v>4.0</v>
      </c>
      <c r="E188" s="16">
        <v>2480.0</v>
      </c>
      <c r="F188" s="8" t="s">
        <v>10</v>
      </c>
      <c r="G188" s="9">
        <v>45264.0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3">
        <v>45265.0</v>
      </c>
      <c r="B189" s="19" t="s">
        <v>171</v>
      </c>
      <c r="C189" s="27" t="s">
        <v>9</v>
      </c>
      <c r="D189" s="12">
        <v>2.0</v>
      </c>
      <c r="E189" s="16">
        <v>1760.0</v>
      </c>
      <c r="F189" s="8" t="s">
        <v>122</v>
      </c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3">
        <v>45265.0</v>
      </c>
      <c r="B190" s="19" t="s">
        <v>107</v>
      </c>
      <c r="C190" s="27" t="s">
        <v>83</v>
      </c>
      <c r="D190" s="12">
        <v>4.0</v>
      </c>
      <c r="E190" s="16">
        <v>12000.0</v>
      </c>
      <c r="F190" s="8" t="s">
        <v>10</v>
      </c>
      <c r="G190" s="9">
        <v>45474.0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3">
        <v>45266.0</v>
      </c>
      <c r="B191" s="19" t="s">
        <v>172</v>
      </c>
      <c r="C191" s="27" t="s">
        <v>9</v>
      </c>
      <c r="D191" s="12">
        <v>5.0</v>
      </c>
      <c r="E191" s="16">
        <v>2900.0</v>
      </c>
      <c r="F191" s="8" t="s">
        <v>122</v>
      </c>
      <c r="G191" s="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3">
        <v>45266.0</v>
      </c>
      <c r="B192" s="19" t="s">
        <v>173</v>
      </c>
      <c r="C192" s="27" t="s">
        <v>143</v>
      </c>
      <c r="D192" s="12">
        <v>4.0</v>
      </c>
      <c r="E192" s="16">
        <v>3400.0</v>
      </c>
      <c r="F192" s="8" t="s">
        <v>10</v>
      </c>
      <c r="G192" s="9">
        <v>45266.0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3">
        <v>45266.0</v>
      </c>
      <c r="B193" s="19" t="s">
        <v>174</v>
      </c>
      <c r="C193" s="27" t="s">
        <v>83</v>
      </c>
      <c r="D193" s="12">
        <v>2.0</v>
      </c>
      <c r="E193" s="16">
        <v>4800.0</v>
      </c>
      <c r="F193" s="8" t="s">
        <v>10</v>
      </c>
      <c r="G193" s="9">
        <v>45266.0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3">
        <v>45266.0</v>
      </c>
      <c r="B194" s="19" t="s">
        <v>175</v>
      </c>
      <c r="C194" s="27" t="s">
        <v>176</v>
      </c>
      <c r="D194" s="12">
        <v>4.0</v>
      </c>
      <c r="E194" s="16">
        <v>5280.0</v>
      </c>
      <c r="F194" s="8" t="s">
        <v>10</v>
      </c>
      <c r="G194" s="9">
        <v>45335.0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3">
        <v>45266.0</v>
      </c>
      <c r="B195" s="19" t="s">
        <v>14</v>
      </c>
      <c r="C195" s="27" t="s">
        <v>143</v>
      </c>
      <c r="D195" s="12">
        <v>2.0</v>
      </c>
      <c r="E195" s="16">
        <v>5800.0</v>
      </c>
      <c r="F195" s="8" t="s">
        <v>10</v>
      </c>
      <c r="G195" s="9">
        <v>45266.0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3">
        <v>45267.0</v>
      </c>
      <c r="B196" s="19" t="s">
        <v>100</v>
      </c>
      <c r="C196" s="27" t="s">
        <v>133</v>
      </c>
      <c r="D196" s="12">
        <v>1.0</v>
      </c>
      <c r="E196" s="16">
        <v>750.0</v>
      </c>
      <c r="F196" s="8" t="s">
        <v>10</v>
      </c>
      <c r="G196" s="9">
        <v>45267.0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3">
        <v>45267.0</v>
      </c>
      <c r="B197" s="19" t="s">
        <v>55</v>
      </c>
      <c r="C197" s="27" t="s">
        <v>159</v>
      </c>
      <c r="D197" s="12">
        <v>2.0</v>
      </c>
      <c r="E197" s="16">
        <v>2500.0</v>
      </c>
      <c r="F197" s="8" t="s">
        <v>10</v>
      </c>
      <c r="G197" s="9">
        <v>45267.0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3">
        <v>45268.0</v>
      </c>
      <c r="B198" s="19" t="s">
        <v>55</v>
      </c>
      <c r="C198" s="27" t="s">
        <v>159</v>
      </c>
      <c r="D198" s="12">
        <v>1.0</v>
      </c>
      <c r="E198" s="16">
        <v>1250.0</v>
      </c>
      <c r="F198" s="8" t="s">
        <v>10</v>
      </c>
      <c r="G198" s="9">
        <v>45272.0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3">
        <v>45268.0</v>
      </c>
      <c r="B199" s="19" t="s">
        <v>177</v>
      </c>
      <c r="C199" s="27" t="s">
        <v>83</v>
      </c>
      <c r="D199" s="12">
        <v>1.0</v>
      </c>
      <c r="E199" s="16">
        <v>1300.0</v>
      </c>
      <c r="F199" s="8" t="s">
        <v>10</v>
      </c>
      <c r="G199" s="9">
        <v>45268.0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3">
        <v>45269.0</v>
      </c>
      <c r="B200" s="19" t="s">
        <v>22</v>
      </c>
      <c r="C200" s="27" t="s">
        <v>9</v>
      </c>
      <c r="D200" s="12">
        <v>1.0</v>
      </c>
      <c r="E200" s="16">
        <v>1300.0</v>
      </c>
      <c r="F200" s="8" t="s">
        <v>122</v>
      </c>
      <c r="G200" s="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3">
        <v>45269.0</v>
      </c>
      <c r="B201" s="19" t="s">
        <v>22</v>
      </c>
      <c r="C201" s="27" t="s">
        <v>9</v>
      </c>
      <c r="D201" s="12">
        <v>1.0</v>
      </c>
      <c r="E201" s="16">
        <v>1300.0</v>
      </c>
      <c r="F201" s="8" t="s">
        <v>122</v>
      </c>
      <c r="G201" s="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3">
        <v>45271.0</v>
      </c>
      <c r="B202" s="19" t="s">
        <v>178</v>
      </c>
      <c r="C202" s="19" t="s">
        <v>9</v>
      </c>
      <c r="D202" s="12">
        <v>1.0</v>
      </c>
      <c r="E202" s="16">
        <v>1350.0</v>
      </c>
      <c r="F202" s="8" t="s">
        <v>122</v>
      </c>
      <c r="G202" s="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3">
        <v>45271.0</v>
      </c>
      <c r="B203" s="19" t="s">
        <v>179</v>
      </c>
      <c r="C203" s="27" t="s">
        <v>9</v>
      </c>
      <c r="D203" s="12">
        <v>1.0</v>
      </c>
      <c r="E203" s="16">
        <v>1550.0</v>
      </c>
      <c r="F203" s="8" t="s">
        <v>122</v>
      </c>
      <c r="G203" s="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3">
        <v>45271.0</v>
      </c>
      <c r="B204" s="19" t="s">
        <v>139</v>
      </c>
      <c r="C204" s="27" t="s">
        <v>9</v>
      </c>
      <c r="D204" s="12">
        <v>4.0</v>
      </c>
      <c r="E204" s="16">
        <v>2800.0</v>
      </c>
      <c r="F204" s="8" t="s">
        <v>122</v>
      </c>
      <c r="G204" s="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3">
        <v>45272.0</v>
      </c>
      <c r="B205" s="19" t="s">
        <v>87</v>
      </c>
      <c r="C205" s="19" t="s">
        <v>148</v>
      </c>
      <c r="D205" s="12">
        <v>1.0</v>
      </c>
      <c r="E205" s="16">
        <v>550.0</v>
      </c>
      <c r="F205" s="8" t="s">
        <v>10</v>
      </c>
      <c r="G205" s="9">
        <v>45272.0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3">
        <v>45272.0</v>
      </c>
      <c r="B206" s="19" t="s">
        <v>180</v>
      </c>
      <c r="C206" s="19" t="s">
        <v>126</v>
      </c>
      <c r="D206" s="12">
        <v>1.0</v>
      </c>
      <c r="E206" s="16">
        <v>2350.0</v>
      </c>
      <c r="F206" s="8" t="s">
        <v>10</v>
      </c>
      <c r="G206" s="9">
        <v>45273.0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3">
        <v>45272.0</v>
      </c>
      <c r="B207" s="19" t="s">
        <v>181</v>
      </c>
      <c r="C207" s="19" t="s">
        <v>138</v>
      </c>
      <c r="D207" s="12">
        <v>2.0</v>
      </c>
      <c r="E207" s="16">
        <v>2840.0</v>
      </c>
      <c r="F207" s="8" t="s">
        <v>10</v>
      </c>
      <c r="G207" s="9">
        <v>45272.0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3">
        <v>45273.0</v>
      </c>
      <c r="B208" s="19" t="s">
        <v>182</v>
      </c>
      <c r="C208" s="19" t="s">
        <v>133</v>
      </c>
      <c r="D208" s="12">
        <v>1.0</v>
      </c>
      <c r="E208" s="16">
        <v>1700.0</v>
      </c>
      <c r="F208" s="8" t="s">
        <v>10</v>
      </c>
      <c r="G208" s="9">
        <v>45273.0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3">
        <v>45274.0</v>
      </c>
      <c r="B209" s="19" t="s">
        <v>183</v>
      </c>
      <c r="C209" s="19" t="s">
        <v>143</v>
      </c>
      <c r="D209" s="12">
        <v>1.0</v>
      </c>
      <c r="E209" s="16">
        <v>1100.0</v>
      </c>
      <c r="F209" s="8" t="s">
        <v>10</v>
      </c>
      <c r="G209" s="9">
        <v>45274.0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3">
        <v>45274.0</v>
      </c>
      <c r="B210" s="19" t="s">
        <v>184</v>
      </c>
      <c r="C210" s="19" t="s">
        <v>9</v>
      </c>
      <c r="D210" s="12">
        <v>1.0</v>
      </c>
      <c r="E210" s="16">
        <v>1700.0</v>
      </c>
      <c r="F210" s="8" t="s">
        <v>122</v>
      </c>
      <c r="G210" s="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3">
        <v>45274.0</v>
      </c>
      <c r="B211" s="19" t="s">
        <v>185</v>
      </c>
      <c r="C211" s="19" t="s">
        <v>133</v>
      </c>
      <c r="D211" s="12">
        <v>4.0</v>
      </c>
      <c r="E211" s="16">
        <v>4200.0</v>
      </c>
      <c r="F211" s="8" t="s">
        <v>10</v>
      </c>
      <c r="G211" s="9">
        <v>45274.0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3">
        <v>45275.0</v>
      </c>
      <c r="B212" s="19" t="s">
        <v>22</v>
      </c>
      <c r="C212" s="19" t="s">
        <v>9</v>
      </c>
      <c r="D212" s="12">
        <v>1.0</v>
      </c>
      <c r="E212" s="16">
        <v>1300.0</v>
      </c>
      <c r="F212" s="8" t="s">
        <v>122</v>
      </c>
      <c r="G212" s="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3">
        <v>45275.0</v>
      </c>
      <c r="B213" s="19" t="s">
        <v>186</v>
      </c>
      <c r="C213" s="19" t="s">
        <v>83</v>
      </c>
      <c r="D213" s="12">
        <v>2.0</v>
      </c>
      <c r="E213" s="16">
        <v>2400.0</v>
      </c>
      <c r="F213" s="8" t="s">
        <v>10</v>
      </c>
      <c r="G213" s="9">
        <v>45275.0</v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3">
        <v>45275.0</v>
      </c>
      <c r="B214" s="19" t="s">
        <v>34</v>
      </c>
      <c r="C214" s="19" t="s">
        <v>9</v>
      </c>
      <c r="D214" s="12">
        <v>4.0</v>
      </c>
      <c r="E214" s="16">
        <v>6200.0</v>
      </c>
      <c r="F214" s="8" t="s">
        <v>122</v>
      </c>
      <c r="G214" s="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3">
        <v>45276.0</v>
      </c>
      <c r="B215" s="19" t="s">
        <v>48</v>
      </c>
      <c r="C215" s="19" t="s">
        <v>9</v>
      </c>
      <c r="D215" s="12">
        <v>1.0</v>
      </c>
      <c r="E215" s="16">
        <v>1000.0</v>
      </c>
      <c r="F215" s="8" t="s">
        <v>122</v>
      </c>
      <c r="G215" s="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3">
        <v>45276.0</v>
      </c>
      <c r="B216" s="19" t="s">
        <v>187</v>
      </c>
      <c r="C216" s="19" t="s">
        <v>133</v>
      </c>
      <c r="D216" s="12">
        <v>2.0</v>
      </c>
      <c r="E216" s="16">
        <v>1300.0</v>
      </c>
      <c r="F216" s="8" t="s">
        <v>10</v>
      </c>
      <c r="G216" s="9">
        <v>45276.0</v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3">
        <v>45276.0</v>
      </c>
      <c r="B217" s="19" t="s">
        <v>94</v>
      </c>
      <c r="C217" s="19" t="s">
        <v>156</v>
      </c>
      <c r="D217" s="12">
        <v>1.0</v>
      </c>
      <c r="E217" s="16">
        <v>1795.0</v>
      </c>
      <c r="F217" s="8" t="s">
        <v>10</v>
      </c>
      <c r="G217" s="9">
        <v>45276.0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3">
        <v>45278.0</v>
      </c>
      <c r="B218" s="19" t="s">
        <v>188</v>
      </c>
      <c r="C218" s="19" t="s">
        <v>143</v>
      </c>
      <c r="D218" s="12">
        <v>2.0</v>
      </c>
      <c r="E218" s="16">
        <v>4200.0</v>
      </c>
      <c r="F218" s="8" t="s">
        <v>10</v>
      </c>
      <c r="G218" s="9">
        <v>45279.0</v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3">
        <v>45279.0</v>
      </c>
      <c r="B219" s="19" t="s">
        <v>189</v>
      </c>
      <c r="C219" s="19" t="s">
        <v>132</v>
      </c>
      <c r="D219" s="12">
        <v>1.0</v>
      </c>
      <c r="E219" s="16">
        <v>471.0</v>
      </c>
      <c r="F219" s="8" t="s">
        <v>10</v>
      </c>
      <c r="G219" s="9">
        <v>45279.0</v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3">
        <v>45280.0</v>
      </c>
      <c r="B220" s="19" t="s">
        <v>190</v>
      </c>
      <c r="C220" s="19" t="s">
        <v>83</v>
      </c>
      <c r="D220" s="12">
        <v>2.0</v>
      </c>
      <c r="E220" s="16">
        <v>1300.0</v>
      </c>
      <c r="F220" s="8" t="s">
        <v>10</v>
      </c>
      <c r="G220" s="9">
        <v>45280.0</v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3">
        <v>45280.0</v>
      </c>
      <c r="B221" s="19" t="s">
        <v>191</v>
      </c>
      <c r="C221" s="19" t="s">
        <v>143</v>
      </c>
      <c r="D221" s="12">
        <v>2.0</v>
      </c>
      <c r="E221" s="16">
        <v>3900.0</v>
      </c>
      <c r="F221" s="8" t="s">
        <v>10</v>
      </c>
      <c r="G221" s="9">
        <v>45280.0</v>
      </c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3">
        <v>45281.0</v>
      </c>
      <c r="B222" s="19" t="s">
        <v>192</v>
      </c>
      <c r="C222" s="19" t="s">
        <v>83</v>
      </c>
      <c r="D222" s="12">
        <v>1.0</v>
      </c>
      <c r="E222" s="16">
        <v>750.0</v>
      </c>
      <c r="F222" s="8" t="s">
        <v>10</v>
      </c>
      <c r="G222" s="9">
        <v>45281.0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3">
        <v>45281.0</v>
      </c>
      <c r="B223" s="19" t="s">
        <v>193</v>
      </c>
      <c r="C223" s="19" t="s">
        <v>143</v>
      </c>
      <c r="D223" s="12">
        <v>2.0</v>
      </c>
      <c r="E223" s="16">
        <v>3000.0</v>
      </c>
      <c r="F223" s="8" t="s">
        <v>10</v>
      </c>
      <c r="G223" s="9">
        <v>45282.0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3">
        <v>45281.0</v>
      </c>
      <c r="B224" s="19" t="s">
        <v>194</v>
      </c>
      <c r="C224" s="19" t="s">
        <v>146</v>
      </c>
      <c r="D224" s="12">
        <v>3.0</v>
      </c>
      <c r="E224" s="16">
        <v>4050.0</v>
      </c>
      <c r="F224" s="8" t="s">
        <v>10</v>
      </c>
      <c r="G224" s="9">
        <v>45281.0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3">
        <v>45282.0</v>
      </c>
      <c r="B225" s="19" t="s">
        <v>61</v>
      </c>
      <c r="C225" s="19" t="s">
        <v>9</v>
      </c>
      <c r="D225" s="12">
        <v>2.0</v>
      </c>
      <c r="E225" s="16">
        <v>1160.0</v>
      </c>
      <c r="F225" s="8" t="s">
        <v>10</v>
      </c>
      <c r="G225" s="9">
        <v>45282.0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3">
        <v>45282.0</v>
      </c>
      <c r="B226" s="19" t="s">
        <v>195</v>
      </c>
      <c r="C226" s="19" t="s">
        <v>156</v>
      </c>
      <c r="D226" s="12">
        <v>2.0</v>
      </c>
      <c r="E226" s="16">
        <v>4462.0</v>
      </c>
      <c r="F226" s="8" t="s">
        <v>10</v>
      </c>
      <c r="G226" s="9">
        <v>45282.0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3">
        <v>45283.0</v>
      </c>
      <c r="B227" s="19" t="s">
        <v>196</v>
      </c>
      <c r="C227" s="19" t="s">
        <v>133</v>
      </c>
      <c r="D227" s="12">
        <v>2.0</v>
      </c>
      <c r="E227" s="16">
        <v>1570.0</v>
      </c>
      <c r="F227" s="8" t="s">
        <v>10</v>
      </c>
      <c r="G227" s="9">
        <v>45283.0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3">
        <v>45283.0</v>
      </c>
      <c r="B228" s="19" t="s">
        <v>197</v>
      </c>
      <c r="C228" s="19" t="s">
        <v>9</v>
      </c>
      <c r="D228" s="12">
        <v>2.0</v>
      </c>
      <c r="E228" s="16">
        <v>2400.0</v>
      </c>
      <c r="F228" s="8" t="s">
        <v>122</v>
      </c>
      <c r="G228" s="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3">
        <v>45283.0</v>
      </c>
      <c r="B229" s="19" t="s">
        <v>198</v>
      </c>
      <c r="C229" s="19" t="s">
        <v>9</v>
      </c>
      <c r="D229" s="12">
        <v>2.0</v>
      </c>
      <c r="E229" s="16">
        <v>3000.0</v>
      </c>
      <c r="F229" s="8" t="s">
        <v>122</v>
      </c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3">
        <v>45285.0</v>
      </c>
      <c r="B230" s="19" t="s">
        <v>137</v>
      </c>
      <c r="C230" s="19" t="s">
        <v>143</v>
      </c>
      <c r="D230" s="12">
        <v>4.0</v>
      </c>
      <c r="E230" s="16">
        <v>2320.0</v>
      </c>
      <c r="F230" s="8" t="s">
        <v>10</v>
      </c>
      <c r="G230" s="9">
        <v>45285.0</v>
      </c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3">
        <v>45285.0</v>
      </c>
      <c r="B231" s="19" t="s">
        <v>199</v>
      </c>
      <c r="C231" s="19" t="s">
        <v>143</v>
      </c>
      <c r="D231" s="12">
        <v>2.0</v>
      </c>
      <c r="E231" s="16">
        <v>2550.0</v>
      </c>
      <c r="F231" s="8" t="s">
        <v>10</v>
      </c>
      <c r="G231" s="9">
        <v>45286.0</v>
      </c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3">
        <v>45285.0</v>
      </c>
      <c r="B232" s="19" t="s">
        <v>200</v>
      </c>
      <c r="C232" s="19" t="s">
        <v>143</v>
      </c>
      <c r="D232" s="12">
        <v>4.0</v>
      </c>
      <c r="E232" s="16">
        <v>2720.0</v>
      </c>
      <c r="F232" s="8" t="s">
        <v>10</v>
      </c>
      <c r="G232" s="9">
        <v>45285.0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3">
        <v>45286.0</v>
      </c>
      <c r="B233" s="19" t="s">
        <v>201</v>
      </c>
      <c r="C233" s="19" t="s">
        <v>138</v>
      </c>
      <c r="D233" s="12">
        <v>2.0</v>
      </c>
      <c r="E233" s="16">
        <v>950.0</v>
      </c>
      <c r="F233" s="8" t="s">
        <v>10</v>
      </c>
      <c r="G233" s="9">
        <v>45286.0</v>
      </c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3">
        <v>45286.0</v>
      </c>
      <c r="B234" s="19" t="s">
        <v>80</v>
      </c>
      <c r="C234" s="19" t="s">
        <v>9</v>
      </c>
      <c r="D234" s="12">
        <v>1.0</v>
      </c>
      <c r="E234" s="16">
        <v>1150.0</v>
      </c>
      <c r="F234" s="8" t="s">
        <v>122</v>
      </c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3">
        <v>45286.0</v>
      </c>
      <c r="B235" s="19" t="s">
        <v>199</v>
      </c>
      <c r="C235" s="19" t="s">
        <v>126</v>
      </c>
      <c r="D235" s="12">
        <v>1.0</v>
      </c>
      <c r="E235" s="16">
        <v>1170.0</v>
      </c>
      <c r="F235" s="8" t="s">
        <v>10</v>
      </c>
      <c r="G235" s="9">
        <v>45306.0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3">
        <v>45286.0</v>
      </c>
      <c r="B236" s="19" t="s">
        <v>202</v>
      </c>
      <c r="C236" s="19" t="s">
        <v>143</v>
      </c>
      <c r="D236" s="12">
        <v>2.0</v>
      </c>
      <c r="E236" s="16">
        <v>3200.0</v>
      </c>
      <c r="F236" s="8" t="s">
        <v>10</v>
      </c>
      <c r="G236" s="9">
        <v>45287.0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3">
        <v>45286.0</v>
      </c>
      <c r="B237" s="19" t="s">
        <v>47</v>
      </c>
      <c r="C237" s="19" t="s">
        <v>9</v>
      </c>
      <c r="D237" s="12">
        <v>4.0</v>
      </c>
      <c r="E237" s="16">
        <v>6200.0</v>
      </c>
      <c r="F237" s="8" t="s">
        <v>122</v>
      </c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3">
        <v>45287.0</v>
      </c>
      <c r="B238" s="19" t="s">
        <v>155</v>
      </c>
      <c r="C238" s="19" t="s">
        <v>156</v>
      </c>
      <c r="D238" s="12">
        <v>2.0</v>
      </c>
      <c r="E238" s="16">
        <v>1205.0</v>
      </c>
      <c r="F238" s="8" t="s">
        <v>10</v>
      </c>
      <c r="G238" s="9">
        <v>45287.0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3">
        <v>45287.0</v>
      </c>
      <c r="B239" s="19" t="s">
        <v>27</v>
      </c>
      <c r="C239" s="19" t="s">
        <v>138</v>
      </c>
      <c r="D239" s="12">
        <v>1.0</v>
      </c>
      <c r="E239" s="16">
        <v>1420.0</v>
      </c>
      <c r="F239" s="8" t="s">
        <v>10</v>
      </c>
      <c r="G239" s="9">
        <v>45287.0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3">
        <v>45287.0</v>
      </c>
      <c r="B240" s="19" t="s">
        <v>203</v>
      </c>
      <c r="C240" s="19" t="s">
        <v>83</v>
      </c>
      <c r="D240" s="12">
        <v>2.0</v>
      </c>
      <c r="E240" s="16">
        <v>2360.0</v>
      </c>
      <c r="F240" s="8" t="s">
        <v>10</v>
      </c>
      <c r="G240" s="9">
        <v>45287.0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3">
        <v>45287.0</v>
      </c>
      <c r="B241" s="19" t="s">
        <v>198</v>
      </c>
      <c r="C241" s="19" t="s">
        <v>9</v>
      </c>
      <c r="D241" s="12">
        <v>2.0</v>
      </c>
      <c r="E241" s="16">
        <v>3000.0</v>
      </c>
      <c r="F241" s="8" t="s">
        <v>122</v>
      </c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3">
        <v>45288.0</v>
      </c>
      <c r="B242" s="19" t="s">
        <v>51</v>
      </c>
      <c r="C242" s="19" t="s">
        <v>9</v>
      </c>
      <c r="D242" s="12">
        <v>1.0</v>
      </c>
      <c r="E242" s="16">
        <v>1080.0</v>
      </c>
      <c r="F242" s="8" t="s">
        <v>122</v>
      </c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3">
        <v>45288.0</v>
      </c>
      <c r="B243" s="19" t="s">
        <v>100</v>
      </c>
      <c r="C243" s="19" t="s">
        <v>133</v>
      </c>
      <c r="D243" s="12">
        <v>2.0</v>
      </c>
      <c r="E243" s="16">
        <v>1500.0</v>
      </c>
      <c r="F243" s="8" t="s">
        <v>10</v>
      </c>
      <c r="G243" s="9">
        <v>45288.0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3">
        <v>45289.0</v>
      </c>
      <c r="B244" s="19" t="s">
        <v>190</v>
      </c>
      <c r="C244" s="19" t="s">
        <v>204</v>
      </c>
      <c r="D244" s="12">
        <v>4.0</v>
      </c>
      <c r="E244" s="16">
        <v>2600.0</v>
      </c>
      <c r="F244" s="8" t="s">
        <v>10</v>
      </c>
      <c r="G244" s="9">
        <v>45290.0</v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3">
        <v>45289.0</v>
      </c>
      <c r="B245" s="19" t="s">
        <v>55</v>
      </c>
      <c r="C245" s="19" t="s">
        <v>138</v>
      </c>
      <c r="D245" s="12">
        <v>4.0</v>
      </c>
      <c r="E245" s="16">
        <v>4600.0</v>
      </c>
      <c r="F245" s="8" t="s">
        <v>10</v>
      </c>
      <c r="G245" s="9">
        <v>45289.0</v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3">
        <v>45289.0</v>
      </c>
      <c r="B246" s="19" t="s">
        <v>31</v>
      </c>
      <c r="C246" s="19" t="s">
        <v>133</v>
      </c>
      <c r="D246" s="12">
        <v>4.0</v>
      </c>
      <c r="E246" s="16">
        <v>4700.0</v>
      </c>
      <c r="F246" s="8" t="s">
        <v>10</v>
      </c>
      <c r="G246" s="9">
        <v>45289.0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3">
        <v>45290.0</v>
      </c>
      <c r="B247" s="19" t="s">
        <v>205</v>
      </c>
      <c r="C247" s="19" t="s">
        <v>138</v>
      </c>
      <c r="D247" s="12">
        <v>4.0</v>
      </c>
      <c r="E247" s="16">
        <v>5280.0</v>
      </c>
      <c r="F247" s="8" t="s">
        <v>10</v>
      </c>
      <c r="G247" s="9">
        <v>45293.0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3">
        <v>45293.0</v>
      </c>
      <c r="B248" s="19" t="s">
        <v>206</v>
      </c>
      <c r="C248" s="19" t="s">
        <v>138</v>
      </c>
      <c r="D248" s="12">
        <v>4.0</v>
      </c>
      <c r="E248" s="16">
        <v>5600.0</v>
      </c>
      <c r="F248" s="8" t="s">
        <v>10</v>
      </c>
      <c r="G248" s="9">
        <v>45293.0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3">
        <v>45294.0</v>
      </c>
      <c r="B249" s="19" t="s">
        <v>145</v>
      </c>
      <c r="C249" s="19" t="s">
        <v>138</v>
      </c>
      <c r="D249" s="12">
        <v>1.0</v>
      </c>
      <c r="E249" s="16">
        <v>1300.0</v>
      </c>
      <c r="F249" s="8" t="s">
        <v>10</v>
      </c>
      <c r="G249" s="9">
        <v>45294.0</v>
      </c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3">
        <v>45294.0</v>
      </c>
      <c r="B250" s="19" t="s">
        <v>100</v>
      </c>
      <c r="C250" s="19" t="s">
        <v>133</v>
      </c>
      <c r="D250" s="12">
        <v>2.0</v>
      </c>
      <c r="E250" s="16">
        <v>1500.0</v>
      </c>
      <c r="F250" s="8" t="s">
        <v>10</v>
      </c>
      <c r="G250" s="9">
        <v>45294.0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3">
        <v>45294.0</v>
      </c>
      <c r="B251" s="19" t="s">
        <v>207</v>
      </c>
      <c r="C251" s="19" t="s">
        <v>133</v>
      </c>
      <c r="D251" s="12">
        <v>2.0</v>
      </c>
      <c r="E251" s="16">
        <v>2200.0</v>
      </c>
      <c r="F251" s="8" t="s">
        <v>10</v>
      </c>
      <c r="G251" s="9">
        <v>45294.0</v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3">
        <v>45295.0</v>
      </c>
      <c r="B252" s="19" t="s">
        <v>208</v>
      </c>
      <c r="C252" s="19" t="s">
        <v>143</v>
      </c>
      <c r="D252" s="12">
        <v>4.0</v>
      </c>
      <c r="E252" s="16">
        <v>5400.0</v>
      </c>
      <c r="F252" s="8" t="s">
        <v>10</v>
      </c>
      <c r="G252" s="9">
        <v>45295.0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3">
        <v>45296.0</v>
      </c>
      <c r="B253" s="19" t="s">
        <v>205</v>
      </c>
      <c r="C253" s="19" t="s">
        <v>138</v>
      </c>
      <c r="D253" s="12">
        <v>4.0</v>
      </c>
      <c r="E253" s="16">
        <v>5280.0</v>
      </c>
      <c r="F253" s="8" t="s">
        <v>10</v>
      </c>
      <c r="G253" s="9">
        <v>45296.0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3">
        <v>45297.0</v>
      </c>
      <c r="B254" s="19" t="s">
        <v>194</v>
      </c>
      <c r="C254" s="19" t="s">
        <v>146</v>
      </c>
      <c r="D254" s="12">
        <v>1.0</v>
      </c>
      <c r="E254" s="16">
        <v>1350.0</v>
      </c>
      <c r="F254" s="8" t="s">
        <v>10</v>
      </c>
      <c r="G254" s="9">
        <v>45297.0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28">
        <v>45299.0</v>
      </c>
      <c r="B255" s="27" t="s">
        <v>209</v>
      </c>
      <c r="C255" s="27" t="s">
        <v>210</v>
      </c>
      <c r="D255" s="6">
        <v>1.0</v>
      </c>
      <c r="E255" s="24">
        <v>680.0</v>
      </c>
      <c r="F255" s="8" t="s">
        <v>10</v>
      </c>
      <c r="G255" s="9">
        <v>45455.0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3">
        <v>45299.0</v>
      </c>
      <c r="B256" s="19" t="s">
        <v>64</v>
      </c>
      <c r="C256" s="19" t="s">
        <v>148</v>
      </c>
      <c r="D256" s="12">
        <v>2.0</v>
      </c>
      <c r="E256" s="16">
        <v>1240.0</v>
      </c>
      <c r="F256" s="8" t="s">
        <v>10</v>
      </c>
      <c r="G256" s="9">
        <v>45311.0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3">
        <v>45299.0</v>
      </c>
      <c r="B257" s="19" t="s">
        <v>142</v>
      </c>
      <c r="C257" s="19" t="s">
        <v>143</v>
      </c>
      <c r="D257" s="12">
        <v>1.0</v>
      </c>
      <c r="E257" s="16">
        <v>1300.0</v>
      </c>
      <c r="F257" s="8" t="s">
        <v>10</v>
      </c>
      <c r="G257" s="9">
        <v>45299.0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3">
        <v>45299.0</v>
      </c>
      <c r="B258" s="19" t="s">
        <v>181</v>
      </c>
      <c r="C258" s="19" t="s">
        <v>143</v>
      </c>
      <c r="D258" s="12">
        <v>1.0</v>
      </c>
      <c r="E258" s="16">
        <v>1450.0</v>
      </c>
      <c r="F258" s="8" t="s">
        <v>10</v>
      </c>
      <c r="G258" s="9">
        <v>45300.0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3">
        <v>45299.0</v>
      </c>
      <c r="B259" s="19" t="s">
        <v>211</v>
      </c>
      <c r="C259" s="19" t="s">
        <v>146</v>
      </c>
      <c r="D259" s="12">
        <v>2.0</v>
      </c>
      <c r="E259" s="16">
        <v>2140.0</v>
      </c>
      <c r="F259" s="8" t="s">
        <v>10</v>
      </c>
      <c r="G259" s="9">
        <v>45299.0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3">
        <v>45299.0</v>
      </c>
      <c r="B260" s="19" t="s">
        <v>181</v>
      </c>
      <c r="C260" s="19" t="s">
        <v>143</v>
      </c>
      <c r="D260" s="12">
        <v>2.0</v>
      </c>
      <c r="E260" s="16">
        <v>2900.0</v>
      </c>
      <c r="F260" s="8" t="s">
        <v>10</v>
      </c>
      <c r="G260" s="9">
        <v>45299.0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3">
        <v>45300.0</v>
      </c>
      <c r="B261" s="19" t="s">
        <v>212</v>
      </c>
      <c r="C261" s="19" t="s">
        <v>138</v>
      </c>
      <c r="D261" s="12">
        <v>1.0</v>
      </c>
      <c r="E261" s="16">
        <v>840.0</v>
      </c>
      <c r="F261" s="8" t="s">
        <v>10</v>
      </c>
      <c r="G261" s="9">
        <v>45300.0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3">
        <v>45300.0</v>
      </c>
      <c r="B262" s="19" t="s">
        <v>213</v>
      </c>
      <c r="C262" s="19" t="s">
        <v>146</v>
      </c>
      <c r="D262" s="12">
        <v>2.0</v>
      </c>
      <c r="E262" s="16">
        <v>2120.0</v>
      </c>
      <c r="F262" s="8" t="s">
        <v>10</v>
      </c>
      <c r="G262" s="9">
        <v>45300.0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3">
        <v>45300.0</v>
      </c>
      <c r="B263" s="19" t="s">
        <v>214</v>
      </c>
      <c r="C263" s="19" t="s">
        <v>138</v>
      </c>
      <c r="D263" s="12">
        <v>4.0</v>
      </c>
      <c r="E263" s="16">
        <v>5200.0</v>
      </c>
      <c r="F263" s="8" t="s">
        <v>10</v>
      </c>
      <c r="G263" s="9">
        <v>45300.0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3">
        <v>45301.0</v>
      </c>
      <c r="B264" s="19" t="s">
        <v>215</v>
      </c>
      <c r="C264" s="19" t="s">
        <v>138</v>
      </c>
      <c r="D264" s="12">
        <v>4.0</v>
      </c>
      <c r="E264" s="16">
        <v>5300.0</v>
      </c>
      <c r="F264" s="8" t="s">
        <v>10</v>
      </c>
      <c r="G264" s="9">
        <v>45301.0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3">
        <v>45302.0</v>
      </c>
      <c r="B265" s="19" t="s">
        <v>139</v>
      </c>
      <c r="C265" s="19" t="s">
        <v>138</v>
      </c>
      <c r="D265" s="12">
        <v>2.0</v>
      </c>
      <c r="E265" s="16">
        <v>1500.0</v>
      </c>
      <c r="F265" s="8" t="s">
        <v>10</v>
      </c>
      <c r="G265" s="9">
        <v>45306.0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3">
        <v>45303.0</v>
      </c>
      <c r="B266" s="19" t="s">
        <v>216</v>
      </c>
      <c r="C266" s="19" t="s">
        <v>83</v>
      </c>
      <c r="D266" s="12">
        <v>2.0</v>
      </c>
      <c r="E266" s="16">
        <v>2300.0</v>
      </c>
      <c r="F266" s="8" t="s">
        <v>10</v>
      </c>
      <c r="G266" s="9">
        <v>45490.0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3">
        <v>45303.0</v>
      </c>
      <c r="B267" s="19" t="s">
        <v>217</v>
      </c>
      <c r="C267" s="19" t="s">
        <v>126</v>
      </c>
      <c r="D267" s="12">
        <v>3.0</v>
      </c>
      <c r="E267" s="16">
        <v>3900.0</v>
      </c>
      <c r="F267" s="8" t="s">
        <v>10</v>
      </c>
      <c r="G267" s="9">
        <v>45306.0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3">
        <v>45304.0</v>
      </c>
      <c r="B268" s="19" t="s">
        <v>76</v>
      </c>
      <c r="C268" s="19" t="s">
        <v>218</v>
      </c>
      <c r="D268" s="12">
        <v>2.0</v>
      </c>
      <c r="E268" s="16">
        <v>1200.0</v>
      </c>
      <c r="F268" s="8" t="s">
        <v>10</v>
      </c>
      <c r="G268" s="9">
        <v>45364.0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3">
        <v>45306.0</v>
      </c>
      <c r="B269" s="19" t="s">
        <v>37</v>
      </c>
      <c r="C269" s="19" t="s">
        <v>138</v>
      </c>
      <c r="D269" s="12">
        <v>2.0</v>
      </c>
      <c r="E269" s="16">
        <v>1270.0</v>
      </c>
      <c r="F269" s="8" t="s">
        <v>10</v>
      </c>
      <c r="G269" s="9">
        <v>45306.0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3">
        <v>45306.0</v>
      </c>
      <c r="B270" s="19" t="s">
        <v>219</v>
      </c>
      <c r="C270" s="19" t="s">
        <v>133</v>
      </c>
      <c r="D270" s="12">
        <v>1.0</v>
      </c>
      <c r="E270" s="16">
        <v>1400.0</v>
      </c>
      <c r="F270" s="8" t="s">
        <v>10</v>
      </c>
      <c r="G270" s="9">
        <v>45306.0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3">
        <v>45306.0</v>
      </c>
      <c r="B271" s="19" t="s">
        <v>220</v>
      </c>
      <c r="C271" s="19" t="s">
        <v>133</v>
      </c>
      <c r="D271" s="12">
        <v>1.0</v>
      </c>
      <c r="E271" s="16">
        <v>1480.0</v>
      </c>
      <c r="F271" s="8" t="s">
        <v>10</v>
      </c>
      <c r="G271" s="9">
        <v>45308.0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3">
        <v>45306.0</v>
      </c>
      <c r="B272" s="19" t="s">
        <v>221</v>
      </c>
      <c r="C272" s="19" t="s">
        <v>143</v>
      </c>
      <c r="D272" s="12">
        <v>2.0</v>
      </c>
      <c r="E272" s="16">
        <v>2500.0</v>
      </c>
      <c r="F272" s="8" t="s">
        <v>10</v>
      </c>
      <c r="G272" s="9">
        <v>45307.0</v>
      </c>
      <c r="H272" s="8" t="s">
        <v>222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3">
        <v>45306.0</v>
      </c>
      <c r="B273" s="19" t="s">
        <v>223</v>
      </c>
      <c r="C273" s="19" t="s">
        <v>126</v>
      </c>
      <c r="D273" s="12">
        <v>2.0</v>
      </c>
      <c r="E273" s="16">
        <v>2830.0</v>
      </c>
      <c r="F273" s="8" t="s">
        <v>10</v>
      </c>
      <c r="G273" s="9">
        <v>45306.0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3">
        <v>45306.0</v>
      </c>
      <c r="B274" s="19" t="s">
        <v>223</v>
      </c>
      <c r="C274" s="19" t="s">
        <v>83</v>
      </c>
      <c r="D274" s="12">
        <v>2.0</v>
      </c>
      <c r="E274" s="16">
        <v>2960.0</v>
      </c>
      <c r="F274" s="8" t="s">
        <v>10</v>
      </c>
      <c r="G274" s="9">
        <v>45523.0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3">
        <v>45306.0</v>
      </c>
      <c r="B275" s="19" t="s">
        <v>224</v>
      </c>
      <c r="C275" s="19" t="s">
        <v>146</v>
      </c>
      <c r="D275" s="12">
        <v>2.0</v>
      </c>
      <c r="E275" s="16">
        <v>4700.0</v>
      </c>
      <c r="F275" s="8" t="s">
        <v>10</v>
      </c>
      <c r="G275" s="9">
        <v>45313.0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3">
        <v>45306.0</v>
      </c>
      <c r="B276" s="19" t="s">
        <v>225</v>
      </c>
      <c r="C276" s="19" t="s">
        <v>83</v>
      </c>
      <c r="D276" s="12">
        <v>2.0</v>
      </c>
      <c r="E276" s="16">
        <v>5700.0</v>
      </c>
      <c r="F276" s="8" t="s">
        <v>10</v>
      </c>
      <c r="G276" s="9">
        <v>45490.0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3">
        <v>45307.0</v>
      </c>
      <c r="B277" s="19" t="s">
        <v>226</v>
      </c>
      <c r="C277" s="19" t="s">
        <v>133</v>
      </c>
      <c r="D277" s="12">
        <v>1.0</v>
      </c>
      <c r="E277" s="16">
        <v>1000.0</v>
      </c>
      <c r="F277" s="8" t="s">
        <v>10</v>
      </c>
      <c r="G277" s="9">
        <v>45308.0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3">
        <v>45307.0</v>
      </c>
      <c r="B278" s="19" t="s">
        <v>227</v>
      </c>
      <c r="C278" s="19" t="s">
        <v>138</v>
      </c>
      <c r="D278" s="12">
        <v>2.0</v>
      </c>
      <c r="E278" s="16">
        <v>1460.0</v>
      </c>
      <c r="F278" s="8" t="s">
        <v>10</v>
      </c>
      <c r="G278" s="9">
        <v>45308.0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3">
        <v>45307.0</v>
      </c>
      <c r="B279" s="19" t="s">
        <v>201</v>
      </c>
      <c r="C279" s="19" t="s">
        <v>138</v>
      </c>
      <c r="D279" s="12">
        <v>4.0</v>
      </c>
      <c r="E279" s="16">
        <v>1900.0</v>
      </c>
      <c r="F279" s="8" t="s">
        <v>10</v>
      </c>
      <c r="G279" s="9">
        <v>45307.0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3">
        <v>45307.0</v>
      </c>
      <c r="B280" s="19" t="s">
        <v>228</v>
      </c>
      <c r="C280" s="19" t="s">
        <v>126</v>
      </c>
      <c r="D280" s="12">
        <v>2.0</v>
      </c>
      <c r="E280" s="16">
        <v>2640.0</v>
      </c>
      <c r="F280" s="8" t="s">
        <v>10</v>
      </c>
      <c r="G280" s="9">
        <v>45307.0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3">
        <v>45307.0</v>
      </c>
      <c r="B281" s="19" t="s">
        <v>229</v>
      </c>
      <c r="C281" s="19" t="s">
        <v>133</v>
      </c>
      <c r="D281" s="12">
        <v>4.0</v>
      </c>
      <c r="E281" s="16">
        <v>7000.0</v>
      </c>
      <c r="F281" s="8" t="s">
        <v>10</v>
      </c>
      <c r="G281" s="9">
        <v>45308.0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3">
        <v>45308.0</v>
      </c>
      <c r="B282" s="19" t="s">
        <v>230</v>
      </c>
      <c r="C282" s="19" t="s">
        <v>83</v>
      </c>
      <c r="D282" s="12">
        <v>1.0</v>
      </c>
      <c r="E282" s="16">
        <v>3900.0</v>
      </c>
      <c r="F282" s="8" t="s">
        <v>10</v>
      </c>
      <c r="G282" s="9">
        <v>45523.0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3">
        <v>45308.0</v>
      </c>
      <c r="B283" s="19" t="s">
        <v>231</v>
      </c>
      <c r="C283" s="19" t="s">
        <v>83</v>
      </c>
      <c r="D283" s="12">
        <v>1.0</v>
      </c>
      <c r="E283" s="16">
        <v>5700.0</v>
      </c>
      <c r="F283" s="8" t="s">
        <v>10</v>
      </c>
      <c r="G283" s="9">
        <v>45308.0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3">
        <v>45309.0</v>
      </c>
      <c r="B284" s="19" t="s">
        <v>76</v>
      </c>
      <c r="C284" s="19" t="s">
        <v>156</v>
      </c>
      <c r="D284" s="12">
        <v>2.0</v>
      </c>
      <c r="E284" s="16">
        <v>1125.0</v>
      </c>
      <c r="F284" s="8" t="s">
        <v>10</v>
      </c>
      <c r="G284" s="9">
        <v>45309.0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3">
        <v>45309.0</v>
      </c>
      <c r="B285" s="19" t="s">
        <v>232</v>
      </c>
      <c r="C285" s="19" t="s">
        <v>126</v>
      </c>
      <c r="D285" s="12">
        <v>4.0</v>
      </c>
      <c r="E285" s="16">
        <v>4800.0</v>
      </c>
      <c r="F285" s="8" t="s">
        <v>10</v>
      </c>
      <c r="G285" s="9">
        <v>45299.0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3">
        <v>45309.0</v>
      </c>
      <c r="B286" s="19" t="s">
        <v>158</v>
      </c>
      <c r="C286" s="19" t="s">
        <v>143</v>
      </c>
      <c r="D286" s="12">
        <v>4.0</v>
      </c>
      <c r="E286" s="16">
        <v>5000.0</v>
      </c>
      <c r="F286" s="8" t="s">
        <v>10</v>
      </c>
      <c r="G286" s="9">
        <v>45313.0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3">
        <v>45309.0</v>
      </c>
      <c r="B287" s="19" t="s">
        <v>108</v>
      </c>
      <c r="C287" s="19" t="s">
        <v>143</v>
      </c>
      <c r="D287" s="12">
        <v>4.0</v>
      </c>
      <c r="E287" s="16">
        <v>5000.0</v>
      </c>
      <c r="F287" s="8" t="s">
        <v>10</v>
      </c>
      <c r="G287" s="9">
        <v>45313.0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3">
        <v>45310.0</v>
      </c>
      <c r="B288" s="19" t="s">
        <v>87</v>
      </c>
      <c r="C288" s="19" t="s">
        <v>148</v>
      </c>
      <c r="D288" s="12">
        <v>2.0</v>
      </c>
      <c r="E288" s="16">
        <v>1100.0</v>
      </c>
      <c r="F288" s="8" t="s">
        <v>10</v>
      </c>
      <c r="G288" s="9">
        <v>45311.0</v>
      </c>
      <c r="H288" s="8" t="s">
        <v>222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3">
        <v>45310.0</v>
      </c>
      <c r="B289" s="19" t="s">
        <v>233</v>
      </c>
      <c r="C289" s="19" t="s">
        <v>133</v>
      </c>
      <c r="D289" s="12">
        <v>2.0</v>
      </c>
      <c r="E289" s="16">
        <v>2000.0</v>
      </c>
      <c r="F289" s="8" t="s">
        <v>10</v>
      </c>
      <c r="G289" s="9">
        <v>45310.0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3">
        <v>45311.0</v>
      </c>
      <c r="B290" s="19" t="s">
        <v>165</v>
      </c>
      <c r="C290" s="19" t="s">
        <v>143</v>
      </c>
      <c r="D290" s="12">
        <v>1.0</v>
      </c>
      <c r="E290" s="16">
        <v>980.0</v>
      </c>
      <c r="F290" s="8" t="s">
        <v>10</v>
      </c>
      <c r="G290" s="9">
        <v>45313.0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3">
        <v>45311.0</v>
      </c>
      <c r="B291" s="19" t="s">
        <v>52</v>
      </c>
      <c r="C291" s="19" t="s">
        <v>133</v>
      </c>
      <c r="D291" s="12">
        <v>2.0</v>
      </c>
      <c r="E291" s="16">
        <v>2500.0</v>
      </c>
      <c r="F291" s="8" t="s">
        <v>10</v>
      </c>
      <c r="G291" s="9">
        <v>45313.0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3">
        <v>45313.0</v>
      </c>
      <c r="B292" s="19" t="s">
        <v>104</v>
      </c>
      <c r="C292" s="19" t="s">
        <v>143</v>
      </c>
      <c r="D292" s="12">
        <v>2.0</v>
      </c>
      <c r="E292" s="16">
        <v>1960.0</v>
      </c>
      <c r="F292" s="8" t="s">
        <v>10</v>
      </c>
      <c r="G292" s="9">
        <v>45314.0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3">
        <v>45313.0</v>
      </c>
      <c r="B293" s="19" t="s">
        <v>234</v>
      </c>
      <c r="C293" s="19" t="s">
        <v>159</v>
      </c>
      <c r="D293" s="12">
        <v>2.0</v>
      </c>
      <c r="E293" s="16">
        <v>2100.0</v>
      </c>
      <c r="F293" s="8" t="s">
        <v>10</v>
      </c>
      <c r="G293" s="9">
        <v>45343.0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3">
        <v>45313.0</v>
      </c>
      <c r="B294" s="19" t="s">
        <v>235</v>
      </c>
      <c r="C294" s="19" t="s">
        <v>176</v>
      </c>
      <c r="D294" s="12">
        <v>2.0</v>
      </c>
      <c r="E294" s="16">
        <v>2240.0</v>
      </c>
      <c r="F294" s="8" t="s">
        <v>10</v>
      </c>
      <c r="G294" s="9">
        <v>45313.0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3">
        <v>45313.0</v>
      </c>
      <c r="B295" s="19" t="s">
        <v>236</v>
      </c>
      <c r="C295" s="19" t="s">
        <v>138</v>
      </c>
      <c r="D295" s="12">
        <v>2.0</v>
      </c>
      <c r="E295" s="16">
        <v>2350.0</v>
      </c>
      <c r="F295" s="8" t="s">
        <v>10</v>
      </c>
      <c r="G295" s="9">
        <v>45313.0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3">
        <v>45314.0</v>
      </c>
      <c r="B296" s="19" t="s">
        <v>115</v>
      </c>
      <c r="C296" s="19" t="s">
        <v>143</v>
      </c>
      <c r="D296" s="12">
        <v>2.0</v>
      </c>
      <c r="E296" s="16">
        <v>2300.0</v>
      </c>
      <c r="F296" s="8" t="s">
        <v>10</v>
      </c>
      <c r="G296" s="9">
        <v>45314.0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3">
        <v>45314.0</v>
      </c>
      <c r="B297" s="19" t="s">
        <v>237</v>
      </c>
      <c r="C297" s="19" t="s">
        <v>136</v>
      </c>
      <c r="D297" s="12">
        <v>4.0</v>
      </c>
      <c r="E297" s="16">
        <v>3320.0</v>
      </c>
      <c r="F297" s="8" t="s">
        <v>10</v>
      </c>
      <c r="G297" s="9">
        <v>45314.0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3">
        <v>45314.0</v>
      </c>
      <c r="B298" s="19" t="s">
        <v>238</v>
      </c>
      <c r="C298" s="19" t="s">
        <v>143</v>
      </c>
      <c r="D298" s="12">
        <v>2.0</v>
      </c>
      <c r="E298" s="16">
        <v>3600.0</v>
      </c>
      <c r="F298" s="8" t="s">
        <v>10</v>
      </c>
      <c r="G298" s="9">
        <v>45315.0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3">
        <v>45315.0</v>
      </c>
      <c r="B299" s="19" t="s">
        <v>239</v>
      </c>
      <c r="C299" s="19" t="s">
        <v>143</v>
      </c>
      <c r="D299" s="12">
        <v>1.0</v>
      </c>
      <c r="E299" s="16">
        <v>1100.0</v>
      </c>
      <c r="F299" s="8" t="s">
        <v>10</v>
      </c>
      <c r="G299" s="9">
        <v>45315.0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3">
        <v>45315.0</v>
      </c>
      <c r="B300" s="19" t="s">
        <v>35</v>
      </c>
      <c r="C300" s="19" t="s">
        <v>133</v>
      </c>
      <c r="D300" s="12">
        <v>4.0</v>
      </c>
      <c r="E300" s="16">
        <v>4400.0</v>
      </c>
      <c r="F300" s="8" t="s">
        <v>10</v>
      </c>
      <c r="G300" s="9">
        <v>45316.0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3">
        <v>45316.0</v>
      </c>
      <c r="B301" s="19" t="s">
        <v>240</v>
      </c>
      <c r="C301" s="19" t="s">
        <v>133</v>
      </c>
      <c r="D301" s="12">
        <v>3.0</v>
      </c>
      <c r="E301" s="16">
        <v>1950.0</v>
      </c>
      <c r="F301" s="8" t="s">
        <v>10</v>
      </c>
      <c r="G301" s="9">
        <v>45316.0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3">
        <v>45316.0</v>
      </c>
      <c r="B302" s="19" t="s">
        <v>104</v>
      </c>
      <c r="C302" s="19" t="s">
        <v>143</v>
      </c>
      <c r="D302" s="12">
        <v>2.0</v>
      </c>
      <c r="E302" s="16">
        <v>1960.0</v>
      </c>
      <c r="F302" s="8" t="s">
        <v>10</v>
      </c>
      <c r="G302" s="9">
        <v>45320.0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3">
        <v>45316.0</v>
      </c>
      <c r="B303" s="19" t="s">
        <v>241</v>
      </c>
      <c r="C303" s="19" t="s">
        <v>143</v>
      </c>
      <c r="D303" s="12">
        <v>4.0</v>
      </c>
      <c r="E303" s="16">
        <v>2400.0</v>
      </c>
      <c r="F303" s="8" t="s">
        <v>10</v>
      </c>
      <c r="G303" s="9">
        <v>45316.0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3">
        <v>45317.0</v>
      </c>
      <c r="B304" s="19" t="s">
        <v>242</v>
      </c>
      <c r="C304" s="19" t="s">
        <v>9</v>
      </c>
      <c r="D304" s="12">
        <v>1.0</v>
      </c>
      <c r="E304" s="16">
        <v>1250.0</v>
      </c>
      <c r="F304" s="8" t="s">
        <v>122</v>
      </c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3">
        <v>45317.0</v>
      </c>
      <c r="B305" s="19" t="s">
        <v>243</v>
      </c>
      <c r="C305" s="19" t="s">
        <v>136</v>
      </c>
      <c r="D305" s="12">
        <v>4.0</v>
      </c>
      <c r="E305" s="16">
        <v>4880.0</v>
      </c>
      <c r="F305" s="8" t="s">
        <v>10</v>
      </c>
      <c r="G305" s="9">
        <v>45317.0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3">
        <v>45318.0</v>
      </c>
      <c r="B306" s="19" t="s">
        <v>244</v>
      </c>
      <c r="C306" s="19" t="s">
        <v>126</v>
      </c>
      <c r="D306" s="12">
        <v>1.0</v>
      </c>
      <c r="E306" s="16">
        <v>950.0</v>
      </c>
      <c r="F306" s="8" t="s">
        <v>10</v>
      </c>
      <c r="G306" s="9">
        <v>45318.0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3">
        <v>45320.0</v>
      </c>
      <c r="B307" s="19" t="s">
        <v>245</v>
      </c>
      <c r="C307" s="19" t="s">
        <v>143</v>
      </c>
      <c r="D307" s="12">
        <v>1.0</v>
      </c>
      <c r="E307" s="16">
        <v>980.0</v>
      </c>
      <c r="F307" s="8" t="s">
        <v>10</v>
      </c>
      <c r="G307" s="9">
        <v>45320.0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3">
        <v>45320.0</v>
      </c>
      <c r="B308" s="19" t="s">
        <v>246</v>
      </c>
      <c r="C308" s="19" t="s">
        <v>133</v>
      </c>
      <c r="D308" s="12">
        <v>2.0</v>
      </c>
      <c r="E308" s="16">
        <v>1900.0</v>
      </c>
      <c r="F308" s="8" t="s">
        <v>10</v>
      </c>
      <c r="G308" s="9">
        <v>45320.0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3">
        <v>45320.0</v>
      </c>
      <c r="B309" s="19" t="s">
        <v>247</v>
      </c>
      <c r="C309" s="19" t="s">
        <v>143</v>
      </c>
      <c r="D309" s="12">
        <v>2.0</v>
      </c>
      <c r="E309" s="16">
        <v>2800.0</v>
      </c>
      <c r="F309" s="8" t="s">
        <v>10</v>
      </c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3">
        <v>45320.0</v>
      </c>
      <c r="B310" s="19" t="s">
        <v>248</v>
      </c>
      <c r="C310" s="19" t="s">
        <v>83</v>
      </c>
      <c r="D310" s="12">
        <v>1.0</v>
      </c>
      <c r="E310" s="16">
        <v>3400.0</v>
      </c>
      <c r="F310" s="8" t="s">
        <v>10</v>
      </c>
      <c r="G310" s="9">
        <v>45523.0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3">
        <v>45321.0</v>
      </c>
      <c r="B311" s="19" t="s">
        <v>61</v>
      </c>
      <c r="C311" s="19" t="s">
        <v>9</v>
      </c>
      <c r="D311" s="12">
        <v>2.0</v>
      </c>
      <c r="E311" s="16">
        <v>1160.0</v>
      </c>
      <c r="F311" s="8" t="s">
        <v>10</v>
      </c>
      <c r="G311" s="9">
        <v>45321.0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3">
        <v>45321.0</v>
      </c>
      <c r="B312" s="19" t="s">
        <v>249</v>
      </c>
      <c r="C312" s="19" t="s">
        <v>136</v>
      </c>
      <c r="D312" s="12">
        <v>2.0</v>
      </c>
      <c r="E312" s="16">
        <v>1700.0</v>
      </c>
      <c r="F312" s="8" t="s">
        <v>10</v>
      </c>
      <c r="G312" s="9">
        <v>45321.0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28">
        <v>45321.0</v>
      </c>
      <c r="B313" s="27" t="s">
        <v>250</v>
      </c>
      <c r="C313" s="27" t="s">
        <v>210</v>
      </c>
      <c r="D313" s="6">
        <v>2.0</v>
      </c>
      <c r="E313" s="24">
        <v>1840.0</v>
      </c>
      <c r="F313" s="8" t="s">
        <v>10</v>
      </c>
      <c r="G313" s="9">
        <v>45455.0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3">
        <v>45322.0</v>
      </c>
      <c r="B314" s="19" t="s">
        <v>251</v>
      </c>
      <c r="C314" s="19" t="s">
        <v>138</v>
      </c>
      <c r="D314" s="12">
        <v>2.0</v>
      </c>
      <c r="E314" s="16">
        <v>2830.0</v>
      </c>
      <c r="F314" s="8" t="s">
        <v>10</v>
      </c>
      <c r="G314" s="9">
        <v>45322.0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3">
        <v>45323.0</v>
      </c>
      <c r="B315" s="19" t="s">
        <v>87</v>
      </c>
      <c r="C315" s="19" t="s">
        <v>148</v>
      </c>
      <c r="D315" s="12">
        <v>2.0</v>
      </c>
      <c r="E315" s="16">
        <v>1100.0</v>
      </c>
      <c r="F315" s="8" t="s">
        <v>10</v>
      </c>
      <c r="G315" s="9">
        <v>45329.0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3">
        <v>45324.0</v>
      </c>
      <c r="B316" s="19" t="s">
        <v>252</v>
      </c>
      <c r="C316" s="19" t="s">
        <v>138</v>
      </c>
      <c r="D316" s="12">
        <v>1.0</v>
      </c>
      <c r="E316" s="16">
        <v>1060.0</v>
      </c>
      <c r="F316" s="8" t="s">
        <v>10</v>
      </c>
      <c r="G316" s="9">
        <v>45324.0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3">
        <v>45324.0</v>
      </c>
      <c r="B317" s="19" t="s">
        <v>253</v>
      </c>
      <c r="C317" s="19" t="s">
        <v>143</v>
      </c>
      <c r="D317" s="12">
        <v>4.0</v>
      </c>
      <c r="E317" s="16">
        <v>4000.0</v>
      </c>
      <c r="F317" s="8" t="s">
        <v>10</v>
      </c>
      <c r="G317" s="9">
        <v>45324.0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3">
        <v>45325.0</v>
      </c>
      <c r="B318" s="19" t="s">
        <v>19</v>
      </c>
      <c r="C318" s="19" t="s">
        <v>126</v>
      </c>
      <c r="D318" s="12">
        <v>1.0</v>
      </c>
      <c r="E318" s="16">
        <v>1300.0</v>
      </c>
      <c r="F318" s="8" t="s">
        <v>10</v>
      </c>
      <c r="G318" s="9">
        <v>45327.0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3">
        <v>45327.0</v>
      </c>
      <c r="B319" s="19" t="s">
        <v>254</v>
      </c>
      <c r="C319" s="19" t="s">
        <v>146</v>
      </c>
      <c r="D319" s="12">
        <v>4.0</v>
      </c>
      <c r="E319" s="16">
        <v>2000.0</v>
      </c>
      <c r="F319" s="8" t="s">
        <v>10</v>
      </c>
      <c r="G319" s="9">
        <v>45328.0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3">
        <v>45328.0</v>
      </c>
      <c r="B320" s="19" t="s">
        <v>64</v>
      </c>
      <c r="C320" s="19" t="s">
        <v>148</v>
      </c>
      <c r="D320" s="12">
        <v>1.0</v>
      </c>
      <c r="E320" s="16">
        <v>620.0</v>
      </c>
      <c r="F320" s="8" t="s">
        <v>10</v>
      </c>
      <c r="G320" s="9">
        <v>45329.0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3">
        <v>45328.0</v>
      </c>
      <c r="B321" s="19" t="s">
        <v>100</v>
      </c>
      <c r="C321" s="19" t="s">
        <v>133</v>
      </c>
      <c r="D321" s="12">
        <v>2.0</v>
      </c>
      <c r="E321" s="16">
        <v>1500.0</v>
      </c>
      <c r="F321" s="8" t="s">
        <v>10</v>
      </c>
      <c r="G321" s="9">
        <v>45328.0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3">
        <v>45329.0</v>
      </c>
      <c r="B322" s="19" t="s">
        <v>255</v>
      </c>
      <c r="C322" s="19" t="s">
        <v>143</v>
      </c>
      <c r="D322" s="12">
        <v>1.0</v>
      </c>
      <c r="E322" s="16">
        <v>750.0</v>
      </c>
      <c r="F322" s="8" t="s">
        <v>10</v>
      </c>
      <c r="G322" s="9">
        <v>45329.0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3">
        <v>45329.0</v>
      </c>
      <c r="B323" s="19" t="s">
        <v>256</v>
      </c>
      <c r="C323" s="19" t="s">
        <v>257</v>
      </c>
      <c r="D323" s="12">
        <v>1.0</v>
      </c>
      <c r="E323" s="16">
        <v>900.0</v>
      </c>
      <c r="F323" s="8" t="s">
        <v>10</v>
      </c>
      <c r="G323" s="9">
        <v>45331.0</v>
      </c>
      <c r="H323" s="8" t="s">
        <v>222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3">
        <v>45329.0</v>
      </c>
      <c r="B324" s="19" t="s">
        <v>258</v>
      </c>
      <c r="C324" s="19" t="s">
        <v>143</v>
      </c>
      <c r="D324" s="12">
        <v>2.0</v>
      </c>
      <c r="E324" s="16">
        <v>940.0</v>
      </c>
      <c r="F324" s="8" t="s">
        <v>10</v>
      </c>
      <c r="G324" s="9">
        <v>45329.0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3">
        <v>45330.0</v>
      </c>
      <c r="B325" s="19" t="s">
        <v>259</v>
      </c>
      <c r="C325" s="19" t="s">
        <v>83</v>
      </c>
      <c r="D325" s="12">
        <v>1.0</v>
      </c>
      <c r="E325" s="16">
        <v>880.0</v>
      </c>
      <c r="F325" s="8" t="s">
        <v>10</v>
      </c>
      <c r="G325" s="9">
        <v>45330.0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3">
        <v>45330.0</v>
      </c>
      <c r="B326" s="19" t="s">
        <v>260</v>
      </c>
      <c r="C326" s="19" t="s">
        <v>143</v>
      </c>
      <c r="D326" s="12">
        <v>1.0</v>
      </c>
      <c r="E326" s="16">
        <v>2300.0</v>
      </c>
      <c r="F326" s="8" t="s">
        <v>10</v>
      </c>
      <c r="G326" s="9">
        <v>45330.0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3">
        <v>45330.0</v>
      </c>
      <c r="B327" s="19" t="s">
        <v>261</v>
      </c>
      <c r="C327" s="19" t="s">
        <v>126</v>
      </c>
      <c r="D327" s="12">
        <v>2.0</v>
      </c>
      <c r="E327" s="16">
        <v>2400.0</v>
      </c>
      <c r="F327" s="8" t="s">
        <v>10</v>
      </c>
      <c r="G327" s="9">
        <v>45336.0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3">
        <v>45330.0</v>
      </c>
      <c r="B328" s="19" t="s">
        <v>260</v>
      </c>
      <c r="C328" s="19" t="s">
        <v>133</v>
      </c>
      <c r="D328" s="12">
        <v>1.0</v>
      </c>
      <c r="E328" s="16">
        <v>2400.0</v>
      </c>
      <c r="F328" s="8" t="s">
        <v>10</v>
      </c>
      <c r="G328" s="9">
        <v>45330.0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3">
        <v>45330.0</v>
      </c>
      <c r="B329" s="19" t="s">
        <v>262</v>
      </c>
      <c r="C329" s="19" t="s">
        <v>126</v>
      </c>
      <c r="D329" s="12">
        <v>2.0</v>
      </c>
      <c r="E329" s="16">
        <v>2600.0</v>
      </c>
      <c r="F329" s="8" t="s">
        <v>10</v>
      </c>
      <c r="G329" s="9">
        <v>45336.0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3">
        <v>45330.0</v>
      </c>
      <c r="B330" s="19" t="s">
        <v>263</v>
      </c>
      <c r="C330" s="19" t="s">
        <v>126</v>
      </c>
      <c r="D330" s="12">
        <v>2.0</v>
      </c>
      <c r="E330" s="16">
        <v>2700.0</v>
      </c>
      <c r="F330" s="8" t="s">
        <v>10</v>
      </c>
      <c r="G330" s="9">
        <v>45330.0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3">
        <v>45330.0</v>
      </c>
      <c r="B331" s="19" t="s">
        <v>84</v>
      </c>
      <c r="C331" s="19" t="s">
        <v>143</v>
      </c>
      <c r="D331" s="12">
        <v>2.0</v>
      </c>
      <c r="E331" s="16">
        <v>4800.0</v>
      </c>
      <c r="F331" s="8" t="s">
        <v>10</v>
      </c>
      <c r="G331" s="9">
        <v>45330.0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3">
        <v>45330.0</v>
      </c>
      <c r="B332" s="19" t="s">
        <v>101</v>
      </c>
      <c r="C332" s="19" t="s">
        <v>133</v>
      </c>
      <c r="D332" s="12">
        <v>4.0</v>
      </c>
      <c r="E332" s="16">
        <v>6000.0</v>
      </c>
      <c r="F332" s="8" t="s">
        <v>10</v>
      </c>
      <c r="G332" s="9">
        <v>45330.0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3">
        <v>45331.0</v>
      </c>
      <c r="B333" s="19" t="s">
        <v>264</v>
      </c>
      <c r="C333" s="19" t="s">
        <v>138</v>
      </c>
      <c r="D333" s="12">
        <v>2.0</v>
      </c>
      <c r="E333" s="16">
        <v>2750.0</v>
      </c>
      <c r="F333" s="8" t="s">
        <v>10</v>
      </c>
      <c r="G333" s="9">
        <v>45331.0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3">
        <v>45331.0</v>
      </c>
      <c r="B334" s="19" t="s">
        <v>139</v>
      </c>
      <c r="C334" s="19" t="s">
        <v>146</v>
      </c>
      <c r="D334" s="12">
        <v>5.0</v>
      </c>
      <c r="E334" s="16">
        <v>3500.0</v>
      </c>
      <c r="F334" s="8" t="s">
        <v>10</v>
      </c>
      <c r="G334" s="9">
        <v>45334.0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3">
        <v>45334.0</v>
      </c>
      <c r="B335" s="19" t="s">
        <v>259</v>
      </c>
      <c r="C335" s="19" t="s">
        <v>83</v>
      </c>
      <c r="D335" s="12">
        <v>1.0</v>
      </c>
      <c r="E335" s="16">
        <v>880.0</v>
      </c>
      <c r="F335" s="8" t="s">
        <v>10</v>
      </c>
      <c r="G335" s="9">
        <v>45334.0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3">
        <v>45334.0</v>
      </c>
      <c r="B336" s="19" t="s">
        <v>265</v>
      </c>
      <c r="C336" s="19" t="s">
        <v>143</v>
      </c>
      <c r="D336" s="12">
        <v>1.0</v>
      </c>
      <c r="E336" s="16">
        <v>1200.0</v>
      </c>
      <c r="F336" s="8" t="s">
        <v>10</v>
      </c>
      <c r="G336" s="9">
        <v>45335.0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3">
        <v>45334.0</v>
      </c>
      <c r="B337" s="19" t="s">
        <v>266</v>
      </c>
      <c r="C337" s="19" t="s">
        <v>257</v>
      </c>
      <c r="D337" s="12">
        <v>4.0</v>
      </c>
      <c r="E337" s="16">
        <v>1920.0</v>
      </c>
      <c r="F337" s="8" t="s">
        <v>10</v>
      </c>
      <c r="G337" s="9">
        <v>45334.0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3">
        <v>45335.0</v>
      </c>
      <c r="B338" s="19" t="s">
        <v>267</v>
      </c>
      <c r="C338" s="19" t="s">
        <v>143</v>
      </c>
      <c r="D338" s="12">
        <v>1.0</v>
      </c>
      <c r="E338" s="16">
        <v>1080.0</v>
      </c>
      <c r="F338" s="8" t="s">
        <v>10</v>
      </c>
      <c r="G338" s="9">
        <v>45335.0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3">
        <v>45335.0</v>
      </c>
      <c r="B339" s="19" t="s">
        <v>194</v>
      </c>
      <c r="C339" s="19" t="s">
        <v>133</v>
      </c>
      <c r="D339" s="12">
        <v>1.0</v>
      </c>
      <c r="E339" s="16">
        <v>1350.0</v>
      </c>
      <c r="F339" s="8" t="s">
        <v>10</v>
      </c>
      <c r="G339" s="9">
        <v>45335.0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3">
        <v>45337.0</v>
      </c>
      <c r="B340" s="19" t="s">
        <v>268</v>
      </c>
      <c r="C340" s="19" t="s">
        <v>156</v>
      </c>
      <c r="D340" s="12">
        <v>2.0</v>
      </c>
      <c r="E340" s="16">
        <v>2230.0</v>
      </c>
      <c r="F340" s="8" t="s">
        <v>10</v>
      </c>
      <c r="G340" s="9">
        <v>45337.0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3">
        <v>45337.0</v>
      </c>
      <c r="B341" s="19" t="s">
        <v>100</v>
      </c>
      <c r="C341" s="19" t="s">
        <v>133</v>
      </c>
      <c r="D341" s="12">
        <v>3.0</v>
      </c>
      <c r="E341" s="16">
        <v>2250.0</v>
      </c>
      <c r="F341" s="8" t="s">
        <v>10</v>
      </c>
      <c r="G341" s="9">
        <v>45337.0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3">
        <v>45339.0</v>
      </c>
      <c r="B342" s="19" t="s">
        <v>269</v>
      </c>
      <c r="C342" s="19" t="s">
        <v>138</v>
      </c>
      <c r="D342" s="12">
        <v>2.0</v>
      </c>
      <c r="E342" s="16">
        <v>1300.0</v>
      </c>
      <c r="F342" s="8" t="s">
        <v>10</v>
      </c>
      <c r="G342" s="9">
        <v>45339.0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3">
        <v>45339.0</v>
      </c>
      <c r="B343" s="19" t="s">
        <v>52</v>
      </c>
      <c r="C343" s="19" t="s">
        <v>133</v>
      </c>
      <c r="D343" s="12">
        <v>4.0</v>
      </c>
      <c r="E343" s="16">
        <v>5000.0</v>
      </c>
      <c r="F343" s="8" t="s">
        <v>10</v>
      </c>
      <c r="G343" s="9">
        <v>45339.0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3">
        <v>45341.0</v>
      </c>
      <c r="B344" s="19" t="s">
        <v>96</v>
      </c>
      <c r="C344" s="19" t="s">
        <v>126</v>
      </c>
      <c r="D344" s="12">
        <v>1.0</v>
      </c>
      <c r="E344" s="16">
        <v>950.0</v>
      </c>
      <c r="F344" s="8" t="s">
        <v>10</v>
      </c>
      <c r="G344" s="9">
        <v>45366.0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3">
        <v>45341.0</v>
      </c>
      <c r="B345" s="19" t="s">
        <v>89</v>
      </c>
      <c r="C345" s="19" t="s">
        <v>83</v>
      </c>
      <c r="D345" s="12">
        <v>1.0</v>
      </c>
      <c r="E345" s="16">
        <v>1180.0</v>
      </c>
      <c r="F345" s="8" t="s">
        <v>10</v>
      </c>
      <c r="G345" s="9">
        <v>45341.0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3">
        <v>45341.0</v>
      </c>
      <c r="B346" s="19" t="s">
        <v>240</v>
      </c>
      <c r="C346" s="19" t="s">
        <v>133</v>
      </c>
      <c r="D346" s="12">
        <v>2.0</v>
      </c>
      <c r="E346" s="16">
        <v>1300.0</v>
      </c>
      <c r="F346" s="8" t="s">
        <v>10</v>
      </c>
      <c r="G346" s="9">
        <v>45341.0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3">
        <v>45341.0</v>
      </c>
      <c r="B347" s="19" t="s">
        <v>270</v>
      </c>
      <c r="C347" s="19" t="s">
        <v>133</v>
      </c>
      <c r="D347" s="12">
        <v>2.0</v>
      </c>
      <c r="E347" s="16">
        <v>1300.0</v>
      </c>
      <c r="F347" s="8" t="s">
        <v>10</v>
      </c>
      <c r="G347" s="9">
        <v>45341.0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3">
        <v>45342.0</v>
      </c>
      <c r="B348" s="19" t="s">
        <v>52</v>
      </c>
      <c r="C348" s="19" t="s">
        <v>133</v>
      </c>
      <c r="D348" s="12">
        <v>2.0</v>
      </c>
      <c r="E348" s="16">
        <v>2500.0</v>
      </c>
      <c r="F348" s="8" t="s">
        <v>10</v>
      </c>
      <c r="G348" s="9">
        <v>45342.0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3">
        <v>45342.0</v>
      </c>
      <c r="B349" s="19" t="s">
        <v>141</v>
      </c>
      <c r="C349" s="19" t="s">
        <v>159</v>
      </c>
      <c r="D349" s="12">
        <v>2.0</v>
      </c>
      <c r="E349" s="16">
        <v>2900.0</v>
      </c>
      <c r="F349" s="8" t="s">
        <v>10</v>
      </c>
      <c r="G349" s="9">
        <v>45343.0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3">
        <v>45343.0</v>
      </c>
      <c r="B350" s="19" t="s">
        <v>271</v>
      </c>
      <c r="C350" s="19" t="s">
        <v>133</v>
      </c>
      <c r="D350" s="12">
        <v>1.0</v>
      </c>
      <c r="E350" s="16">
        <v>1000.0</v>
      </c>
      <c r="F350" s="8" t="s">
        <v>10</v>
      </c>
      <c r="G350" s="9">
        <v>45344.0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3">
        <v>45344.0</v>
      </c>
      <c r="B351" s="19" t="s">
        <v>272</v>
      </c>
      <c r="C351" s="19" t="s">
        <v>138</v>
      </c>
      <c r="D351" s="12">
        <v>1.0</v>
      </c>
      <c r="E351" s="16">
        <v>710.0</v>
      </c>
      <c r="F351" s="8" t="s">
        <v>10</v>
      </c>
      <c r="G351" s="9">
        <v>45344.0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3">
        <v>45344.0</v>
      </c>
      <c r="B352" s="19" t="s">
        <v>273</v>
      </c>
      <c r="C352" s="19" t="s">
        <v>126</v>
      </c>
      <c r="D352" s="12">
        <v>2.0</v>
      </c>
      <c r="E352" s="16">
        <v>1540.0</v>
      </c>
      <c r="F352" s="8" t="s">
        <v>10</v>
      </c>
      <c r="G352" s="9">
        <v>45352.0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3">
        <v>45344.0</v>
      </c>
      <c r="B353" s="19" t="s">
        <v>94</v>
      </c>
      <c r="C353" s="19" t="s">
        <v>126</v>
      </c>
      <c r="D353" s="12">
        <v>1.0</v>
      </c>
      <c r="E353" s="16">
        <v>1750.0</v>
      </c>
      <c r="F353" s="8" t="s">
        <v>10</v>
      </c>
      <c r="G353" s="9">
        <v>45352.0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3">
        <v>45344.0</v>
      </c>
      <c r="B354" s="19" t="s">
        <v>274</v>
      </c>
      <c r="C354" s="19" t="s">
        <v>133</v>
      </c>
      <c r="D354" s="12">
        <v>1.0</v>
      </c>
      <c r="E354" s="16">
        <v>2750.0</v>
      </c>
      <c r="F354" s="8" t="s">
        <v>10</v>
      </c>
      <c r="G354" s="9">
        <v>45344.0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3">
        <v>45344.0</v>
      </c>
      <c r="B355" s="19" t="s">
        <v>19</v>
      </c>
      <c r="C355" s="19" t="s">
        <v>126</v>
      </c>
      <c r="D355" s="12">
        <v>4.0</v>
      </c>
      <c r="E355" s="16">
        <v>5200.0</v>
      </c>
      <c r="F355" s="8" t="s">
        <v>10</v>
      </c>
      <c r="G355" s="9">
        <v>45352.0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3">
        <v>45345.0</v>
      </c>
      <c r="B356" s="19" t="s">
        <v>275</v>
      </c>
      <c r="C356" s="19" t="s">
        <v>156</v>
      </c>
      <c r="D356" s="12">
        <v>4.0</v>
      </c>
      <c r="E356" s="16">
        <v>3415.0</v>
      </c>
      <c r="F356" s="8" t="s">
        <v>10</v>
      </c>
      <c r="G356" s="9">
        <v>45345.0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3">
        <v>45346.0</v>
      </c>
      <c r="B357" s="19" t="s">
        <v>276</v>
      </c>
      <c r="C357" s="19" t="s">
        <v>133</v>
      </c>
      <c r="D357" s="12">
        <v>1.0</v>
      </c>
      <c r="E357" s="16">
        <v>1630.0</v>
      </c>
      <c r="F357" s="8" t="s">
        <v>10</v>
      </c>
      <c r="G357" s="9">
        <v>45346.0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3">
        <v>45348.0</v>
      </c>
      <c r="B358" s="19" t="s">
        <v>277</v>
      </c>
      <c r="C358" s="19" t="s">
        <v>154</v>
      </c>
      <c r="D358" s="12">
        <v>1.0</v>
      </c>
      <c r="E358" s="16">
        <v>1340.0</v>
      </c>
      <c r="F358" s="8" t="s">
        <v>10</v>
      </c>
      <c r="G358" s="9">
        <v>45348.0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3">
        <v>45349.0</v>
      </c>
      <c r="B359" s="19" t="s">
        <v>273</v>
      </c>
      <c r="C359" s="19" t="s">
        <v>126</v>
      </c>
      <c r="D359" s="12">
        <v>2.0</v>
      </c>
      <c r="E359" s="16">
        <v>1540.0</v>
      </c>
      <c r="F359" s="8" t="s">
        <v>10</v>
      </c>
      <c r="G359" s="9">
        <v>45366.0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3">
        <v>45349.0</v>
      </c>
      <c r="B360" s="19" t="s">
        <v>20</v>
      </c>
      <c r="C360" s="19" t="s">
        <v>126</v>
      </c>
      <c r="D360" s="12">
        <v>2.0</v>
      </c>
      <c r="E360" s="16">
        <v>1760.0</v>
      </c>
      <c r="F360" s="8" t="s">
        <v>10</v>
      </c>
      <c r="G360" s="9">
        <v>45366.0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3">
        <v>45350.0</v>
      </c>
      <c r="B361" s="19" t="s">
        <v>170</v>
      </c>
      <c r="C361" s="19" t="s">
        <v>138</v>
      </c>
      <c r="D361" s="12">
        <v>1.0</v>
      </c>
      <c r="E361" s="16">
        <v>1600.0</v>
      </c>
      <c r="F361" s="8" t="s">
        <v>10</v>
      </c>
      <c r="G361" s="9">
        <v>45350.0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3">
        <v>45350.0</v>
      </c>
      <c r="B362" s="19" t="s">
        <v>278</v>
      </c>
      <c r="C362" s="19" t="s">
        <v>126</v>
      </c>
      <c r="D362" s="12">
        <v>2.0</v>
      </c>
      <c r="E362" s="16">
        <v>2600.0</v>
      </c>
      <c r="F362" s="8" t="s">
        <v>10</v>
      </c>
      <c r="G362" s="9">
        <v>45366.0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3">
        <v>45350.0</v>
      </c>
      <c r="B363" s="19" t="s">
        <v>279</v>
      </c>
      <c r="C363" s="19" t="s">
        <v>83</v>
      </c>
      <c r="D363" s="12">
        <v>2.0</v>
      </c>
      <c r="E363" s="24">
        <v>5200.0</v>
      </c>
      <c r="F363" s="8" t="s">
        <v>10</v>
      </c>
      <c r="G363" s="9">
        <v>45537.0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3">
        <v>45351.0</v>
      </c>
      <c r="B364" s="19" t="s">
        <v>183</v>
      </c>
      <c r="C364" s="19" t="s">
        <v>154</v>
      </c>
      <c r="D364" s="12">
        <v>2.0</v>
      </c>
      <c r="E364" s="16">
        <v>2092.0</v>
      </c>
      <c r="F364" s="8" t="s">
        <v>10</v>
      </c>
      <c r="G364" s="9">
        <v>45351.0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3">
        <v>45352.0</v>
      </c>
      <c r="B365" s="19" t="s">
        <v>280</v>
      </c>
      <c r="C365" s="19" t="s">
        <v>154</v>
      </c>
      <c r="D365" s="12">
        <v>2.0</v>
      </c>
      <c r="E365" s="16">
        <v>1557.0</v>
      </c>
      <c r="F365" s="8" t="s">
        <v>10</v>
      </c>
      <c r="G365" s="9">
        <v>45352.0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3">
        <v>45352.0</v>
      </c>
      <c r="B366" s="19" t="s">
        <v>165</v>
      </c>
      <c r="C366" s="19" t="s">
        <v>126</v>
      </c>
      <c r="D366" s="12">
        <v>2.0</v>
      </c>
      <c r="E366" s="16">
        <v>1860.0</v>
      </c>
      <c r="F366" s="8" t="s">
        <v>10</v>
      </c>
      <c r="G366" s="9">
        <v>45397.0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3">
        <v>45352.0</v>
      </c>
      <c r="B367" s="19" t="s">
        <v>110</v>
      </c>
      <c r="C367" s="19" t="s">
        <v>257</v>
      </c>
      <c r="D367" s="12">
        <v>4.0</v>
      </c>
      <c r="E367" s="16">
        <v>3680.0</v>
      </c>
      <c r="F367" s="8" t="s">
        <v>10</v>
      </c>
      <c r="G367" s="9">
        <v>45352.0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3">
        <v>45353.0</v>
      </c>
      <c r="B368" s="19" t="s">
        <v>183</v>
      </c>
      <c r="C368" s="19" t="s">
        <v>154</v>
      </c>
      <c r="D368" s="12">
        <v>2.0</v>
      </c>
      <c r="E368" s="16">
        <v>2092.0</v>
      </c>
      <c r="F368" s="8" t="s">
        <v>10</v>
      </c>
      <c r="G368" s="9">
        <v>45353.0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3">
        <v>45353.0</v>
      </c>
      <c r="B369" s="19" t="s">
        <v>100</v>
      </c>
      <c r="C369" s="19" t="s">
        <v>133</v>
      </c>
      <c r="D369" s="12">
        <v>4.0</v>
      </c>
      <c r="E369" s="16">
        <v>3000.0</v>
      </c>
      <c r="F369" s="8" t="s">
        <v>10</v>
      </c>
      <c r="G369" s="9">
        <v>45356.0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3">
        <v>45355.0</v>
      </c>
      <c r="B370" s="19" t="s">
        <v>281</v>
      </c>
      <c r="C370" s="19" t="s">
        <v>154</v>
      </c>
      <c r="D370" s="12">
        <v>1.0</v>
      </c>
      <c r="E370" s="16">
        <v>1744.0</v>
      </c>
      <c r="F370" s="8" t="s">
        <v>10</v>
      </c>
      <c r="G370" s="9">
        <v>45356.0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3">
        <v>45355.0</v>
      </c>
      <c r="B371" s="19" t="s">
        <v>282</v>
      </c>
      <c r="C371" s="19" t="s">
        <v>154</v>
      </c>
      <c r="D371" s="12">
        <v>2.0</v>
      </c>
      <c r="E371" s="16">
        <v>3969.0</v>
      </c>
      <c r="F371" s="8" t="s">
        <v>10</v>
      </c>
      <c r="G371" s="9">
        <v>45355.0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3">
        <v>45356.0</v>
      </c>
      <c r="B372" s="19" t="s">
        <v>283</v>
      </c>
      <c r="C372" s="19" t="s">
        <v>156</v>
      </c>
      <c r="D372" s="12">
        <v>1.0</v>
      </c>
      <c r="E372" s="16">
        <v>1250.0</v>
      </c>
      <c r="F372" s="8" t="s">
        <v>10</v>
      </c>
      <c r="G372" s="9">
        <v>45356.0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3">
        <v>45356.0</v>
      </c>
      <c r="B373" s="19" t="s">
        <v>281</v>
      </c>
      <c r="C373" s="19" t="s">
        <v>154</v>
      </c>
      <c r="D373" s="12">
        <v>1.0</v>
      </c>
      <c r="E373" s="16">
        <v>1744.0</v>
      </c>
      <c r="F373" s="8" t="s">
        <v>10</v>
      </c>
      <c r="G373" s="9">
        <v>45358.0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3">
        <v>45356.0</v>
      </c>
      <c r="B374" s="19" t="s">
        <v>185</v>
      </c>
      <c r="C374" s="19" t="s">
        <v>133</v>
      </c>
      <c r="D374" s="12">
        <v>2.0</v>
      </c>
      <c r="E374" s="16">
        <v>2100.0</v>
      </c>
      <c r="F374" s="8" t="s">
        <v>10</v>
      </c>
      <c r="G374" s="9">
        <v>45356.0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3">
        <v>45357.0</v>
      </c>
      <c r="B375" s="19" t="s">
        <v>284</v>
      </c>
      <c r="C375" s="19" t="s">
        <v>154</v>
      </c>
      <c r="D375" s="12">
        <v>2.0</v>
      </c>
      <c r="E375" s="16">
        <v>1845.0</v>
      </c>
      <c r="F375" s="8" t="s">
        <v>10</v>
      </c>
      <c r="G375" s="9">
        <v>45357.0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3">
        <v>45357.0</v>
      </c>
      <c r="B376" s="19" t="s">
        <v>278</v>
      </c>
      <c r="C376" s="19" t="s">
        <v>126</v>
      </c>
      <c r="D376" s="12">
        <v>2.0</v>
      </c>
      <c r="E376" s="16">
        <v>2600.0</v>
      </c>
      <c r="F376" s="8" t="s">
        <v>10</v>
      </c>
      <c r="G376" s="9">
        <v>45397.0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3">
        <v>45358.0</v>
      </c>
      <c r="B377" s="19" t="s">
        <v>285</v>
      </c>
      <c r="C377" s="19" t="s">
        <v>156</v>
      </c>
      <c r="D377" s="12">
        <v>2.0</v>
      </c>
      <c r="E377" s="16">
        <v>1833.0</v>
      </c>
      <c r="F377" s="8" t="s">
        <v>10</v>
      </c>
      <c r="G377" s="9">
        <v>45358.0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3">
        <v>45359.0</v>
      </c>
      <c r="B378" s="19" t="s">
        <v>286</v>
      </c>
      <c r="C378" s="19" t="s">
        <v>138</v>
      </c>
      <c r="D378" s="12">
        <v>1.0</v>
      </c>
      <c r="E378" s="16">
        <v>615.0</v>
      </c>
      <c r="F378" s="8" t="s">
        <v>10</v>
      </c>
      <c r="G378" s="9">
        <v>45359.0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3">
        <v>45359.0</v>
      </c>
      <c r="B379" s="19" t="s">
        <v>192</v>
      </c>
      <c r="C379" s="19" t="s">
        <v>83</v>
      </c>
      <c r="D379" s="12">
        <v>2.0</v>
      </c>
      <c r="E379" s="16">
        <v>1500.0</v>
      </c>
      <c r="F379" s="8" t="s">
        <v>10</v>
      </c>
      <c r="G379" s="9">
        <v>45359.0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3">
        <v>45360.0</v>
      </c>
      <c r="B380" s="19" t="s">
        <v>181</v>
      </c>
      <c r="C380" s="19" t="s">
        <v>133</v>
      </c>
      <c r="D380" s="12">
        <v>2.0</v>
      </c>
      <c r="E380" s="16">
        <v>2800.0</v>
      </c>
      <c r="F380" s="8" t="s">
        <v>10</v>
      </c>
      <c r="G380" s="9">
        <v>45362.0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3">
        <v>45362.0</v>
      </c>
      <c r="B381" s="19" t="s">
        <v>254</v>
      </c>
      <c r="C381" s="19" t="s">
        <v>133</v>
      </c>
      <c r="D381" s="12">
        <v>1.0</v>
      </c>
      <c r="E381" s="16">
        <v>500.0</v>
      </c>
      <c r="F381" s="8" t="s">
        <v>10</v>
      </c>
      <c r="G381" s="9">
        <v>45362.0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3">
        <v>45362.0</v>
      </c>
      <c r="B382" s="19" t="s">
        <v>162</v>
      </c>
      <c r="C382" s="19" t="s">
        <v>83</v>
      </c>
      <c r="D382" s="12">
        <v>1.0</v>
      </c>
      <c r="E382" s="16">
        <v>1600.0</v>
      </c>
      <c r="F382" s="8" t="s">
        <v>10</v>
      </c>
      <c r="G382" s="9">
        <v>45538.0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3">
        <v>45362.0</v>
      </c>
      <c r="B383" s="19" t="s">
        <v>287</v>
      </c>
      <c r="C383" s="19" t="s">
        <v>138</v>
      </c>
      <c r="D383" s="12">
        <v>2.0</v>
      </c>
      <c r="E383" s="16">
        <v>2560.0</v>
      </c>
      <c r="F383" s="8" t="s">
        <v>10</v>
      </c>
      <c r="G383" s="9">
        <v>45362.0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3">
        <v>45362.0</v>
      </c>
      <c r="B384" s="19" t="s">
        <v>288</v>
      </c>
      <c r="C384" s="19" t="s">
        <v>83</v>
      </c>
      <c r="D384" s="12">
        <v>2.0</v>
      </c>
      <c r="E384" s="24">
        <v>3600.0</v>
      </c>
      <c r="F384" s="8" t="s">
        <v>10</v>
      </c>
      <c r="G384" s="9">
        <v>45537.0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3">
        <v>45362.0</v>
      </c>
      <c r="B385" s="19" t="s">
        <v>289</v>
      </c>
      <c r="C385" s="19" t="s">
        <v>133</v>
      </c>
      <c r="D385" s="12">
        <v>2.0</v>
      </c>
      <c r="E385" s="16">
        <v>3800.0</v>
      </c>
      <c r="F385" s="8" t="s">
        <v>10</v>
      </c>
      <c r="G385" s="9">
        <v>45365.0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3">
        <v>45363.0</v>
      </c>
      <c r="B386" s="19" t="s">
        <v>290</v>
      </c>
      <c r="C386" s="19" t="s">
        <v>132</v>
      </c>
      <c r="D386" s="12">
        <v>1.0</v>
      </c>
      <c r="E386" s="16">
        <v>351.0</v>
      </c>
      <c r="F386" s="8" t="s">
        <v>10</v>
      </c>
      <c r="G386" s="9">
        <v>45363.0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3">
        <v>45363.0</v>
      </c>
      <c r="B387" s="19" t="s">
        <v>37</v>
      </c>
      <c r="C387" s="19" t="s">
        <v>133</v>
      </c>
      <c r="D387" s="12">
        <v>2.0</v>
      </c>
      <c r="E387" s="16">
        <v>1200.0</v>
      </c>
      <c r="F387" s="8" t="s">
        <v>10</v>
      </c>
      <c r="G387" s="9">
        <v>45365.0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3">
        <v>45364.0</v>
      </c>
      <c r="B388" s="19" t="s">
        <v>37</v>
      </c>
      <c r="C388" s="19" t="s">
        <v>133</v>
      </c>
      <c r="D388" s="12">
        <v>2.0</v>
      </c>
      <c r="E388" s="16">
        <v>1200.0</v>
      </c>
      <c r="F388" s="8" t="s">
        <v>10</v>
      </c>
      <c r="G388" s="9">
        <v>45365.0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3">
        <v>45364.0</v>
      </c>
      <c r="B389" s="19" t="s">
        <v>291</v>
      </c>
      <c r="C389" s="19" t="s">
        <v>159</v>
      </c>
      <c r="D389" s="12">
        <v>2.0</v>
      </c>
      <c r="E389" s="16">
        <v>1320.0</v>
      </c>
      <c r="F389" s="8" t="s">
        <v>10</v>
      </c>
      <c r="G389" s="9">
        <v>45364.0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3">
        <v>45364.0</v>
      </c>
      <c r="B390" s="19" t="s">
        <v>292</v>
      </c>
      <c r="C390" s="19" t="s">
        <v>133</v>
      </c>
      <c r="D390" s="12">
        <v>2.0</v>
      </c>
      <c r="E390" s="16">
        <v>1400.0</v>
      </c>
      <c r="F390" s="8" t="s">
        <v>10</v>
      </c>
      <c r="G390" s="9">
        <v>45365.0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3">
        <v>45364.0</v>
      </c>
      <c r="B391" s="19" t="s">
        <v>293</v>
      </c>
      <c r="C391" s="19" t="s">
        <v>126</v>
      </c>
      <c r="D391" s="12">
        <v>2.0</v>
      </c>
      <c r="E391" s="16">
        <v>2960.0</v>
      </c>
      <c r="F391" s="8" t="s">
        <v>10</v>
      </c>
      <c r="G391" s="9">
        <v>45397.0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3">
        <v>45365.0</v>
      </c>
      <c r="B392" s="19" t="s">
        <v>291</v>
      </c>
      <c r="C392" s="19" t="s">
        <v>210</v>
      </c>
      <c r="D392" s="12">
        <v>2.0</v>
      </c>
      <c r="E392" s="16">
        <v>1400.0</v>
      </c>
      <c r="F392" s="8" t="s">
        <v>10</v>
      </c>
      <c r="G392" s="9">
        <v>45455.0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3">
        <v>45365.0</v>
      </c>
      <c r="B393" s="19" t="s">
        <v>294</v>
      </c>
      <c r="C393" s="19" t="s">
        <v>133</v>
      </c>
      <c r="D393" s="12">
        <v>4.0</v>
      </c>
      <c r="E393" s="16">
        <v>3600.0</v>
      </c>
      <c r="F393" s="8" t="s">
        <v>10</v>
      </c>
      <c r="G393" s="9">
        <v>45370.0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3">
        <v>45366.0</v>
      </c>
      <c r="B394" s="19" t="s">
        <v>20</v>
      </c>
      <c r="C394" s="19" t="s">
        <v>126</v>
      </c>
      <c r="D394" s="12">
        <v>1.0</v>
      </c>
      <c r="E394" s="16">
        <v>880.0</v>
      </c>
      <c r="F394" s="8" t="s">
        <v>10</v>
      </c>
      <c r="G394" s="9">
        <v>45397.0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3">
        <v>45366.0</v>
      </c>
      <c r="B395" s="19" t="s">
        <v>295</v>
      </c>
      <c r="C395" s="19" t="s">
        <v>113</v>
      </c>
      <c r="D395" s="12">
        <v>2.0</v>
      </c>
      <c r="E395" s="16">
        <v>2000.0</v>
      </c>
      <c r="F395" s="8" t="s">
        <v>10</v>
      </c>
      <c r="G395" s="9">
        <v>45370.0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3">
        <v>45367.0</v>
      </c>
      <c r="B396" s="19" t="s">
        <v>29</v>
      </c>
      <c r="C396" s="19" t="s">
        <v>133</v>
      </c>
      <c r="D396" s="12">
        <v>2.0</v>
      </c>
      <c r="E396" s="16">
        <v>3000.0</v>
      </c>
      <c r="F396" s="8" t="s">
        <v>10</v>
      </c>
      <c r="G396" s="9">
        <v>45370.0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3">
        <v>45370.0</v>
      </c>
      <c r="B397" s="19" t="s">
        <v>296</v>
      </c>
      <c r="C397" s="19" t="s">
        <v>143</v>
      </c>
      <c r="D397" s="12">
        <v>1.0</v>
      </c>
      <c r="E397" s="16">
        <v>1300.0</v>
      </c>
      <c r="F397" s="8" t="s">
        <v>10</v>
      </c>
      <c r="G397" s="9">
        <v>45371.0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3">
        <v>45370.0</v>
      </c>
      <c r="B398" s="19" t="s">
        <v>287</v>
      </c>
      <c r="C398" s="19" t="s">
        <v>138</v>
      </c>
      <c r="D398" s="12">
        <v>2.0</v>
      </c>
      <c r="E398" s="16">
        <v>2560.0</v>
      </c>
      <c r="F398" s="8" t="s">
        <v>10</v>
      </c>
      <c r="G398" s="9">
        <v>45370.0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3">
        <v>45370.0</v>
      </c>
      <c r="B399" s="19" t="s">
        <v>297</v>
      </c>
      <c r="C399" s="19" t="s">
        <v>133</v>
      </c>
      <c r="D399" s="12">
        <v>4.0</v>
      </c>
      <c r="E399" s="16">
        <v>2800.0</v>
      </c>
      <c r="F399" s="8" t="s">
        <v>10</v>
      </c>
      <c r="G399" s="9">
        <v>45370.0</v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3">
        <v>45370.0</v>
      </c>
      <c r="B400" s="19" t="s">
        <v>144</v>
      </c>
      <c r="C400" s="19" t="s">
        <v>143</v>
      </c>
      <c r="D400" s="12">
        <v>2.0</v>
      </c>
      <c r="E400" s="16">
        <v>3520.0</v>
      </c>
      <c r="F400" s="8" t="s">
        <v>10</v>
      </c>
      <c r="G400" s="9">
        <v>45371.0</v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3">
        <v>45370.0</v>
      </c>
      <c r="B401" s="19" t="s">
        <v>298</v>
      </c>
      <c r="C401" s="19" t="s">
        <v>126</v>
      </c>
      <c r="D401" s="12">
        <v>2.0</v>
      </c>
      <c r="E401" s="16">
        <v>3800.0</v>
      </c>
      <c r="F401" s="8" t="s">
        <v>10</v>
      </c>
      <c r="G401" s="9">
        <v>45430.0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3">
        <v>45371.0</v>
      </c>
      <c r="B402" s="19" t="s">
        <v>299</v>
      </c>
      <c r="C402" s="19" t="s">
        <v>143</v>
      </c>
      <c r="D402" s="12">
        <v>2.0</v>
      </c>
      <c r="E402" s="16">
        <v>1360.0</v>
      </c>
      <c r="F402" s="8" t="s">
        <v>10</v>
      </c>
      <c r="G402" s="9">
        <v>45371.0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3">
        <v>45371.0</v>
      </c>
      <c r="B403" s="19" t="s">
        <v>300</v>
      </c>
      <c r="C403" s="19" t="s">
        <v>133</v>
      </c>
      <c r="D403" s="12">
        <v>2.0</v>
      </c>
      <c r="E403" s="16">
        <v>1400.0</v>
      </c>
      <c r="F403" s="8" t="s">
        <v>10</v>
      </c>
      <c r="G403" s="9">
        <v>45372.0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3">
        <v>45371.0</v>
      </c>
      <c r="B404" s="19" t="s">
        <v>301</v>
      </c>
      <c r="C404" s="19" t="s">
        <v>143</v>
      </c>
      <c r="D404" s="12">
        <v>2.0</v>
      </c>
      <c r="E404" s="16">
        <v>2500.0</v>
      </c>
      <c r="F404" s="8" t="s">
        <v>10</v>
      </c>
      <c r="G404" s="9">
        <v>45371.0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3">
        <v>45371.0</v>
      </c>
      <c r="B405" s="19" t="s">
        <v>302</v>
      </c>
      <c r="C405" s="19" t="s">
        <v>83</v>
      </c>
      <c r="D405" s="12">
        <v>1.0</v>
      </c>
      <c r="E405" s="16">
        <v>2550.0</v>
      </c>
      <c r="F405" s="8" t="s">
        <v>10</v>
      </c>
      <c r="G405" s="9">
        <v>45372.0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3">
        <v>45372.0</v>
      </c>
      <c r="B406" s="19" t="s">
        <v>303</v>
      </c>
      <c r="C406" s="19" t="s">
        <v>133</v>
      </c>
      <c r="D406" s="12">
        <v>2.0</v>
      </c>
      <c r="E406" s="16">
        <v>1760.0</v>
      </c>
      <c r="F406" s="8" t="s">
        <v>10</v>
      </c>
      <c r="G406" s="9">
        <v>45372.0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3">
        <v>45372.0</v>
      </c>
      <c r="B407" s="19" t="s">
        <v>304</v>
      </c>
      <c r="C407" s="19" t="s">
        <v>133</v>
      </c>
      <c r="D407" s="12">
        <v>2.0</v>
      </c>
      <c r="E407" s="16">
        <v>1900.0</v>
      </c>
      <c r="F407" s="8" t="s">
        <v>10</v>
      </c>
      <c r="G407" s="9">
        <v>45372.0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3">
        <v>45372.0</v>
      </c>
      <c r="B408" s="19" t="s">
        <v>305</v>
      </c>
      <c r="C408" s="19" t="s">
        <v>143</v>
      </c>
      <c r="D408" s="12">
        <v>2.0</v>
      </c>
      <c r="E408" s="16">
        <v>1960.0</v>
      </c>
      <c r="F408" s="8" t="s">
        <v>10</v>
      </c>
      <c r="G408" s="9">
        <v>45372.0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3">
        <v>45374.0</v>
      </c>
      <c r="B409" s="19" t="s">
        <v>306</v>
      </c>
      <c r="C409" s="19" t="s">
        <v>143</v>
      </c>
      <c r="D409" s="12">
        <v>2.0</v>
      </c>
      <c r="E409" s="16">
        <v>1920.0</v>
      </c>
      <c r="F409" s="8" t="s">
        <v>10</v>
      </c>
      <c r="G409" s="9">
        <v>45380.0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3">
        <v>45374.0</v>
      </c>
      <c r="B410" s="19" t="s">
        <v>307</v>
      </c>
      <c r="C410" s="19" t="s">
        <v>136</v>
      </c>
      <c r="D410" s="12">
        <v>4.0</v>
      </c>
      <c r="E410" s="16">
        <v>2400.0</v>
      </c>
      <c r="F410" s="8" t="s">
        <v>10</v>
      </c>
      <c r="G410" s="9">
        <v>45374.0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3">
        <v>45374.0</v>
      </c>
      <c r="B411" s="19" t="s">
        <v>308</v>
      </c>
      <c r="C411" s="19" t="s">
        <v>159</v>
      </c>
      <c r="D411" s="12">
        <v>4.0</v>
      </c>
      <c r="E411" s="16">
        <v>7600.0</v>
      </c>
      <c r="F411" s="8" t="s">
        <v>10</v>
      </c>
      <c r="G411" s="9">
        <v>45381.0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3">
        <v>45376.0</v>
      </c>
      <c r="B412" s="19" t="s">
        <v>20</v>
      </c>
      <c r="C412" s="19" t="s">
        <v>126</v>
      </c>
      <c r="D412" s="12">
        <v>1.0</v>
      </c>
      <c r="E412" s="16">
        <v>880.0</v>
      </c>
      <c r="F412" s="8" t="s">
        <v>10</v>
      </c>
      <c r="G412" s="9">
        <v>45430.0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3">
        <v>45376.0</v>
      </c>
      <c r="B413" s="19" t="s">
        <v>309</v>
      </c>
      <c r="C413" s="19" t="s">
        <v>154</v>
      </c>
      <c r="D413" s="12">
        <v>2.0</v>
      </c>
      <c r="E413" s="16">
        <v>1368.0</v>
      </c>
      <c r="F413" s="8" t="s">
        <v>10</v>
      </c>
      <c r="G413" s="9">
        <v>45376.0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3">
        <v>45376.0</v>
      </c>
      <c r="B414" s="19" t="s">
        <v>155</v>
      </c>
      <c r="C414" s="19" t="s">
        <v>156</v>
      </c>
      <c r="D414" s="12">
        <v>4.0</v>
      </c>
      <c r="E414" s="16">
        <v>2407.0</v>
      </c>
      <c r="F414" s="8" t="s">
        <v>10</v>
      </c>
      <c r="G414" s="9">
        <v>45377.0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3">
        <v>45376.0</v>
      </c>
      <c r="B415" s="19" t="s">
        <v>310</v>
      </c>
      <c r="C415" s="19" t="s">
        <v>138</v>
      </c>
      <c r="D415" s="12">
        <v>4.0</v>
      </c>
      <c r="E415" s="16">
        <v>3300.0</v>
      </c>
      <c r="F415" s="8" t="s">
        <v>10</v>
      </c>
      <c r="G415" s="9">
        <v>45376.0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3">
        <v>45377.0</v>
      </c>
      <c r="B416" s="19" t="s">
        <v>117</v>
      </c>
      <c r="C416" s="19" t="s">
        <v>138</v>
      </c>
      <c r="D416" s="12">
        <v>2.0</v>
      </c>
      <c r="E416" s="16">
        <v>1060.0</v>
      </c>
      <c r="F416" s="8" t="s">
        <v>10</v>
      </c>
      <c r="G416" s="9">
        <v>45377.0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3">
        <v>45377.0</v>
      </c>
      <c r="B417" s="19" t="s">
        <v>195</v>
      </c>
      <c r="C417" s="19" t="s">
        <v>156</v>
      </c>
      <c r="D417" s="12">
        <v>1.0</v>
      </c>
      <c r="E417" s="16">
        <v>2230.0</v>
      </c>
      <c r="F417" s="8" t="s">
        <v>10</v>
      </c>
      <c r="G417" s="9">
        <v>45378.0</v>
      </c>
      <c r="H417" s="8" t="s">
        <v>311</v>
      </c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3">
        <v>45379.0</v>
      </c>
      <c r="B418" s="19" t="s">
        <v>312</v>
      </c>
      <c r="C418" s="19" t="s">
        <v>138</v>
      </c>
      <c r="D418" s="12">
        <v>2.0</v>
      </c>
      <c r="E418" s="16">
        <v>1280.0</v>
      </c>
      <c r="F418" s="8" t="s">
        <v>10</v>
      </c>
      <c r="G418" s="9">
        <v>45379.0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3">
        <v>45379.0</v>
      </c>
      <c r="B419" s="19" t="s">
        <v>313</v>
      </c>
      <c r="C419" s="19" t="s">
        <v>138</v>
      </c>
      <c r="D419" s="12">
        <v>2.0</v>
      </c>
      <c r="E419" s="16">
        <v>1900.0</v>
      </c>
      <c r="F419" s="8" t="s">
        <v>10</v>
      </c>
      <c r="G419" s="9">
        <v>45379.0</v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3">
        <v>45379.0</v>
      </c>
      <c r="B420" s="19" t="s">
        <v>314</v>
      </c>
      <c r="C420" s="19" t="s">
        <v>133</v>
      </c>
      <c r="D420" s="12">
        <v>1.0</v>
      </c>
      <c r="E420" s="16">
        <v>3000.0</v>
      </c>
      <c r="F420" s="8" t="s">
        <v>10</v>
      </c>
      <c r="G420" s="9">
        <v>45380.0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3">
        <v>45379.0</v>
      </c>
      <c r="B421" s="19" t="s">
        <v>217</v>
      </c>
      <c r="C421" s="19" t="s">
        <v>126</v>
      </c>
      <c r="D421" s="12">
        <v>4.0</v>
      </c>
      <c r="E421" s="16">
        <v>5200.0</v>
      </c>
      <c r="F421" s="8" t="s">
        <v>10</v>
      </c>
      <c r="G421" s="9">
        <v>45405.0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3">
        <v>45379.0</v>
      </c>
      <c r="B422" s="19" t="s">
        <v>315</v>
      </c>
      <c r="C422" s="19" t="s">
        <v>126</v>
      </c>
      <c r="D422" s="12">
        <v>4.0</v>
      </c>
      <c r="E422" s="16">
        <v>7600.0</v>
      </c>
      <c r="F422" s="8" t="s">
        <v>10</v>
      </c>
      <c r="G422" s="9">
        <v>45405.0</v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3">
        <v>45383.0</v>
      </c>
      <c r="B423" s="19" t="s">
        <v>316</v>
      </c>
      <c r="C423" s="19" t="s">
        <v>154</v>
      </c>
      <c r="D423" s="12">
        <v>1.0</v>
      </c>
      <c r="E423" s="16">
        <v>2414.0</v>
      </c>
      <c r="F423" s="8" t="s">
        <v>10</v>
      </c>
      <c r="G423" s="9">
        <v>45383.0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3">
        <v>45384.0</v>
      </c>
      <c r="B424" s="19" t="s">
        <v>317</v>
      </c>
      <c r="C424" s="19" t="s">
        <v>154</v>
      </c>
      <c r="D424" s="12">
        <v>1.0</v>
      </c>
      <c r="E424" s="16">
        <v>2468.0</v>
      </c>
      <c r="F424" s="8" t="s">
        <v>10</v>
      </c>
      <c r="G424" s="9">
        <v>45386.0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3">
        <v>45384.0</v>
      </c>
      <c r="B425" s="19" t="s">
        <v>318</v>
      </c>
      <c r="C425" s="19" t="s">
        <v>143</v>
      </c>
      <c r="D425" s="12">
        <v>2.0</v>
      </c>
      <c r="E425" s="16">
        <v>2600.0</v>
      </c>
      <c r="F425" s="8" t="s">
        <v>10</v>
      </c>
      <c r="G425" s="9">
        <v>45384.0</v>
      </c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3">
        <v>45384.0</v>
      </c>
      <c r="B426" s="19" t="s">
        <v>319</v>
      </c>
      <c r="C426" s="19" t="s">
        <v>83</v>
      </c>
      <c r="D426" s="12">
        <v>2.0</v>
      </c>
      <c r="E426" s="16">
        <v>4060.0</v>
      </c>
      <c r="F426" s="8" t="s">
        <v>10</v>
      </c>
      <c r="G426" s="9">
        <v>45538.0</v>
      </c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3">
        <v>45385.0</v>
      </c>
      <c r="B427" s="19" t="s">
        <v>320</v>
      </c>
      <c r="C427" s="19" t="s">
        <v>133</v>
      </c>
      <c r="D427" s="12">
        <v>1.0</v>
      </c>
      <c r="E427" s="16">
        <v>720.0</v>
      </c>
      <c r="F427" s="8" t="s">
        <v>10</v>
      </c>
      <c r="G427" s="9">
        <v>45385.0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3">
        <v>45385.0</v>
      </c>
      <c r="B428" s="19" t="s">
        <v>321</v>
      </c>
      <c r="C428" s="19" t="s">
        <v>322</v>
      </c>
      <c r="D428" s="12">
        <v>1.0</v>
      </c>
      <c r="E428" s="16">
        <v>1230.0</v>
      </c>
      <c r="F428" s="8" t="s">
        <v>10</v>
      </c>
      <c r="G428" s="9">
        <v>45437.0</v>
      </c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3">
        <v>45385.0</v>
      </c>
      <c r="B429" s="19" t="s">
        <v>323</v>
      </c>
      <c r="C429" s="19" t="s">
        <v>133</v>
      </c>
      <c r="D429" s="12">
        <v>2.0</v>
      </c>
      <c r="E429" s="16">
        <v>3100.0</v>
      </c>
      <c r="F429" s="8" t="s">
        <v>10</v>
      </c>
      <c r="G429" s="9">
        <v>45386.0</v>
      </c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3">
        <v>45385.0</v>
      </c>
      <c r="B430" s="19" t="s">
        <v>324</v>
      </c>
      <c r="C430" s="19" t="s">
        <v>325</v>
      </c>
      <c r="D430" s="12">
        <v>2.0</v>
      </c>
      <c r="E430" s="16">
        <v>3800.0</v>
      </c>
      <c r="F430" s="8" t="s">
        <v>10</v>
      </c>
      <c r="G430" s="9" t="s">
        <v>326</v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3">
        <v>45385.0</v>
      </c>
      <c r="B431" s="19" t="s">
        <v>327</v>
      </c>
      <c r="C431" s="19" t="s">
        <v>325</v>
      </c>
      <c r="D431" s="12">
        <v>2.0</v>
      </c>
      <c r="E431" s="16">
        <v>3900.0</v>
      </c>
      <c r="F431" s="8" t="s">
        <v>10</v>
      </c>
      <c r="G431" s="9">
        <v>45542.0</v>
      </c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3">
        <v>45386.0</v>
      </c>
      <c r="B432" s="19" t="s">
        <v>155</v>
      </c>
      <c r="C432" s="19" t="s">
        <v>156</v>
      </c>
      <c r="D432" s="12">
        <v>2.0</v>
      </c>
      <c r="E432" s="16">
        <v>1203.0</v>
      </c>
      <c r="F432" s="8" t="s">
        <v>10</v>
      </c>
      <c r="G432" s="9">
        <v>45387.0</v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3">
        <v>45386.0</v>
      </c>
      <c r="B433" s="19" t="s">
        <v>281</v>
      </c>
      <c r="C433" s="19" t="s">
        <v>154</v>
      </c>
      <c r="D433" s="12">
        <v>1.0</v>
      </c>
      <c r="E433" s="16">
        <v>1744.0</v>
      </c>
      <c r="F433" s="8" t="s">
        <v>10</v>
      </c>
      <c r="G433" s="9">
        <v>45387.0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3">
        <v>45386.0</v>
      </c>
      <c r="B434" s="19" t="s">
        <v>328</v>
      </c>
      <c r="C434" s="19" t="s">
        <v>83</v>
      </c>
      <c r="D434" s="12">
        <v>2.0</v>
      </c>
      <c r="E434" s="16">
        <v>2250.0</v>
      </c>
      <c r="F434" s="8" t="s">
        <v>10</v>
      </c>
      <c r="G434" s="9">
        <v>45538.0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3">
        <v>45386.0</v>
      </c>
      <c r="B435" s="19" t="s">
        <v>181</v>
      </c>
      <c r="C435" s="19" t="s">
        <v>133</v>
      </c>
      <c r="D435" s="12">
        <v>2.0</v>
      </c>
      <c r="E435" s="16">
        <v>2800.0</v>
      </c>
      <c r="F435" s="8" t="s">
        <v>10</v>
      </c>
      <c r="G435" s="9">
        <v>45397.0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3">
        <v>45386.0</v>
      </c>
      <c r="B436" s="19" t="s">
        <v>101</v>
      </c>
      <c r="C436" s="19" t="s">
        <v>143</v>
      </c>
      <c r="D436" s="12">
        <v>4.0</v>
      </c>
      <c r="E436" s="16">
        <v>5800.0</v>
      </c>
      <c r="F436" s="8" t="s">
        <v>10</v>
      </c>
      <c r="G436" s="9">
        <v>45387.0</v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3">
        <v>45387.0</v>
      </c>
      <c r="B437" s="19" t="s">
        <v>329</v>
      </c>
      <c r="C437" s="19" t="s">
        <v>143</v>
      </c>
      <c r="D437" s="12">
        <v>1.0</v>
      </c>
      <c r="E437" s="16">
        <v>950.0</v>
      </c>
      <c r="F437" s="8" t="s">
        <v>10</v>
      </c>
      <c r="G437" s="9">
        <v>45387.0</v>
      </c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3">
        <v>45387.0</v>
      </c>
      <c r="B438" s="19" t="s">
        <v>64</v>
      </c>
      <c r="C438" s="19" t="s">
        <v>138</v>
      </c>
      <c r="D438" s="12">
        <v>2.0</v>
      </c>
      <c r="E438" s="16">
        <v>1240.0</v>
      </c>
      <c r="F438" s="8" t="s">
        <v>10</v>
      </c>
      <c r="G438" s="9">
        <v>45387.0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3">
        <v>45387.0</v>
      </c>
      <c r="B439" s="19" t="s">
        <v>330</v>
      </c>
      <c r="C439" s="19" t="s">
        <v>138</v>
      </c>
      <c r="D439" s="12">
        <v>2.0</v>
      </c>
      <c r="E439" s="16">
        <v>1600.0</v>
      </c>
      <c r="F439" s="8" t="s">
        <v>10</v>
      </c>
      <c r="G439" s="9">
        <v>45387.0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3">
        <v>45388.0</v>
      </c>
      <c r="B440" s="19" t="s">
        <v>331</v>
      </c>
      <c r="C440" s="19" t="s">
        <v>133</v>
      </c>
      <c r="D440" s="12">
        <v>2.0</v>
      </c>
      <c r="E440" s="16">
        <v>2200.0</v>
      </c>
      <c r="F440" s="8" t="s">
        <v>10</v>
      </c>
      <c r="G440" s="9">
        <v>45397.0</v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3">
        <v>45388.0</v>
      </c>
      <c r="B441" s="19" t="s">
        <v>332</v>
      </c>
      <c r="C441" s="19" t="s">
        <v>143</v>
      </c>
      <c r="D441" s="12">
        <v>4.0</v>
      </c>
      <c r="E441" s="16">
        <v>10400.0</v>
      </c>
      <c r="F441" s="8" t="s">
        <v>10</v>
      </c>
      <c r="G441" s="9">
        <v>45404.0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3">
        <v>45390.0</v>
      </c>
      <c r="B442" s="19" t="s">
        <v>333</v>
      </c>
      <c r="C442" s="19" t="s">
        <v>156</v>
      </c>
      <c r="D442" s="12">
        <v>2.0</v>
      </c>
      <c r="E442" s="16">
        <v>765.91</v>
      </c>
      <c r="F442" s="8" t="s">
        <v>10</v>
      </c>
      <c r="G442" s="9">
        <v>45390.0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3">
        <v>45390.0</v>
      </c>
      <c r="B443" s="19" t="s">
        <v>334</v>
      </c>
      <c r="C443" s="19" t="s">
        <v>126</v>
      </c>
      <c r="D443" s="12">
        <v>2.0</v>
      </c>
      <c r="E443" s="16">
        <v>1800.0</v>
      </c>
      <c r="F443" s="8" t="s">
        <v>10</v>
      </c>
      <c r="G443" s="9">
        <v>45430.0</v>
      </c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3">
        <v>45390.0</v>
      </c>
      <c r="B444" s="19" t="s">
        <v>24</v>
      </c>
      <c r="C444" s="19" t="s">
        <v>138</v>
      </c>
      <c r="D444" s="12">
        <v>2.0</v>
      </c>
      <c r="E444" s="16">
        <v>2100.0</v>
      </c>
      <c r="F444" s="8" t="s">
        <v>10</v>
      </c>
      <c r="G444" s="9">
        <v>45390.0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3">
        <v>45390.0</v>
      </c>
      <c r="B445" s="19" t="s">
        <v>335</v>
      </c>
      <c r="C445" s="19" t="s">
        <v>83</v>
      </c>
      <c r="D445" s="12">
        <v>1.0</v>
      </c>
      <c r="E445" s="16">
        <v>2500.0</v>
      </c>
      <c r="F445" s="8" t="s">
        <v>10</v>
      </c>
      <c r="G445" s="9">
        <v>45538.0</v>
      </c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3">
        <v>45390.0</v>
      </c>
      <c r="B446" s="19" t="s">
        <v>8</v>
      </c>
      <c r="C446" s="19" t="s">
        <v>83</v>
      </c>
      <c r="D446" s="12">
        <v>1.0</v>
      </c>
      <c r="E446" s="16">
        <v>2600.0</v>
      </c>
      <c r="F446" s="8" t="s">
        <v>10</v>
      </c>
      <c r="G446" s="9">
        <v>45538.0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3">
        <v>45390.0</v>
      </c>
      <c r="B447" s="19" t="s">
        <v>336</v>
      </c>
      <c r="C447" s="19" t="s">
        <v>138</v>
      </c>
      <c r="D447" s="12">
        <v>4.0</v>
      </c>
      <c r="E447" s="16">
        <v>4920.0</v>
      </c>
      <c r="F447" s="8" t="s">
        <v>10</v>
      </c>
      <c r="G447" s="9">
        <v>45397.0</v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3">
        <v>45392.0</v>
      </c>
      <c r="B448" s="19" t="s">
        <v>337</v>
      </c>
      <c r="C448" s="19" t="s">
        <v>126</v>
      </c>
      <c r="D448" s="12">
        <v>2.0</v>
      </c>
      <c r="E448" s="16">
        <f>1300*2</f>
        <v>2600</v>
      </c>
      <c r="F448" s="8" t="s">
        <v>10</v>
      </c>
      <c r="G448" s="9">
        <v>45392.0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3">
        <v>45393.0</v>
      </c>
      <c r="B449" s="19" t="s">
        <v>338</v>
      </c>
      <c r="C449" s="19" t="s">
        <v>126</v>
      </c>
      <c r="D449" s="12">
        <v>4.0</v>
      </c>
      <c r="E449" s="16">
        <f>2850*4</f>
        <v>11400</v>
      </c>
      <c r="F449" s="8" t="s">
        <v>10</v>
      </c>
      <c r="G449" s="9">
        <v>45448.0</v>
      </c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3">
        <v>45394.0</v>
      </c>
      <c r="B450" s="19" t="s">
        <v>339</v>
      </c>
      <c r="C450" s="19" t="s">
        <v>143</v>
      </c>
      <c r="D450" s="12">
        <v>1.0</v>
      </c>
      <c r="E450" s="16">
        <f>1300*1</f>
        <v>1300</v>
      </c>
      <c r="F450" s="8" t="s">
        <v>10</v>
      </c>
      <c r="G450" s="9">
        <v>45397.0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3">
        <v>45394.0</v>
      </c>
      <c r="B451" s="19" t="s">
        <v>340</v>
      </c>
      <c r="C451" s="19" t="s">
        <v>126</v>
      </c>
      <c r="D451" s="12">
        <v>2.0</v>
      </c>
      <c r="E451" s="16">
        <v>3350.0</v>
      </c>
      <c r="F451" s="8" t="s">
        <v>10</v>
      </c>
      <c r="G451" s="9">
        <v>45462.0</v>
      </c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3">
        <v>45394.0</v>
      </c>
      <c r="B452" s="19" t="s">
        <v>341</v>
      </c>
      <c r="C452" s="19" t="s">
        <v>143</v>
      </c>
      <c r="D452" s="12">
        <v>4.0</v>
      </c>
      <c r="E452" s="16">
        <f>1170*4</f>
        <v>4680</v>
      </c>
      <c r="F452" s="8" t="s">
        <v>10</v>
      </c>
      <c r="G452" s="9">
        <v>45397.0</v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3">
        <v>45395.0</v>
      </c>
      <c r="B453" s="19" t="s">
        <v>342</v>
      </c>
      <c r="C453" s="19" t="s">
        <v>83</v>
      </c>
      <c r="D453" s="12">
        <v>4.0</v>
      </c>
      <c r="E453" s="16">
        <f>1650*4</f>
        <v>6600</v>
      </c>
      <c r="F453" s="8" t="s">
        <v>10</v>
      </c>
      <c r="G453" s="9">
        <v>45555.0</v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3">
        <v>45397.0</v>
      </c>
      <c r="B454" s="19" t="s">
        <v>139</v>
      </c>
      <c r="C454" s="19" t="s">
        <v>133</v>
      </c>
      <c r="D454" s="12">
        <v>1.0</v>
      </c>
      <c r="E454" s="16">
        <v>700.0</v>
      </c>
      <c r="F454" s="8" t="s">
        <v>10</v>
      </c>
      <c r="G454" s="9">
        <v>45398.0</v>
      </c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3">
        <v>45397.0</v>
      </c>
      <c r="B455" s="19" t="s">
        <v>343</v>
      </c>
      <c r="C455" s="19" t="s">
        <v>143</v>
      </c>
      <c r="D455" s="12">
        <v>1.0</v>
      </c>
      <c r="E455" s="16">
        <v>1300.0</v>
      </c>
      <c r="F455" s="8" t="s">
        <v>10</v>
      </c>
      <c r="G455" s="9">
        <v>45404.0</v>
      </c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3">
        <v>45397.0</v>
      </c>
      <c r="B456" s="19" t="s">
        <v>202</v>
      </c>
      <c r="C456" s="19" t="s">
        <v>143</v>
      </c>
      <c r="D456" s="12">
        <v>1.0</v>
      </c>
      <c r="E456" s="16">
        <v>1600.0</v>
      </c>
      <c r="F456" s="8" t="s">
        <v>10</v>
      </c>
      <c r="G456" s="9">
        <v>45405.0</v>
      </c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3">
        <v>45397.0</v>
      </c>
      <c r="B457" s="19" t="s">
        <v>344</v>
      </c>
      <c r="C457" s="19" t="s">
        <v>138</v>
      </c>
      <c r="D457" s="12">
        <v>4.0</v>
      </c>
      <c r="E457" s="16">
        <v>2340.0</v>
      </c>
      <c r="F457" s="8" t="s">
        <v>10</v>
      </c>
      <c r="G457" s="9">
        <v>45397.0</v>
      </c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3">
        <v>45397.0</v>
      </c>
      <c r="B458" s="19" t="s">
        <v>13</v>
      </c>
      <c r="C458" s="19" t="s">
        <v>143</v>
      </c>
      <c r="D458" s="12">
        <v>4.0</v>
      </c>
      <c r="E458" s="16">
        <v>5400.0</v>
      </c>
      <c r="F458" s="8" t="s">
        <v>10</v>
      </c>
      <c r="G458" s="9">
        <v>45405.0</v>
      </c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3">
        <v>45397.0</v>
      </c>
      <c r="B459" s="19" t="s">
        <v>345</v>
      </c>
      <c r="C459" s="19" t="s">
        <v>133</v>
      </c>
      <c r="D459" s="12">
        <v>4.0</v>
      </c>
      <c r="E459" s="16">
        <v>6200.0</v>
      </c>
      <c r="F459" s="8" t="s">
        <v>10</v>
      </c>
      <c r="G459" s="9">
        <v>45398.0</v>
      </c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3">
        <v>45398.0</v>
      </c>
      <c r="B460" s="19" t="s">
        <v>228</v>
      </c>
      <c r="C460" s="19" t="s">
        <v>126</v>
      </c>
      <c r="D460" s="12">
        <v>1.0</v>
      </c>
      <c r="E460" s="16">
        <v>1350.0</v>
      </c>
      <c r="F460" s="8" t="s">
        <v>10</v>
      </c>
      <c r="G460" s="9">
        <v>45462.0</v>
      </c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3">
        <v>45398.0</v>
      </c>
      <c r="B461" s="19" t="s">
        <v>346</v>
      </c>
      <c r="C461" s="19" t="s">
        <v>126</v>
      </c>
      <c r="D461" s="12">
        <v>1.0</v>
      </c>
      <c r="E461" s="16">
        <v>1500.0</v>
      </c>
      <c r="F461" s="8" t="s">
        <v>10</v>
      </c>
      <c r="G461" s="9">
        <v>45462.0</v>
      </c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3">
        <v>45398.0</v>
      </c>
      <c r="B462" s="19" t="s">
        <v>347</v>
      </c>
      <c r="C462" s="19" t="s">
        <v>133</v>
      </c>
      <c r="D462" s="12">
        <v>4.0</v>
      </c>
      <c r="E462" s="16">
        <v>4400.0</v>
      </c>
      <c r="F462" s="8" t="s">
        <v>10</v>
      </c>
      <c r="G462" s="9">
        <v>45407.0</v>
      </c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3">
        <v>45399.0</v>
      </c>
      <c r="B463" s="19" t="s">
        <v>240</v>
      </c>
      <c r="C463" s="19" t="s">
        <v>133</v>
      </c>
      <c r="D463" s="12">
        <v>1.0</v>
      </c>
      <c r="E463" s="16">
        <v>650.0</v>
      </c>
      <c r="F463" s="8" t="s">
        <v>10</v>
      </c>
      <c r="G463" s="9">
        <v>45407.0</v>
      </c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3">
        <v>45399.0</v>
      </c>
      <c r="B464" s="19" t="s">
        <v>99</v>
      </c>
      <c r="C464" s="19" t="s">
        <v>83</v>
      </c>
      <c r="D464" s="12">
        <v>1.0</v>
      </c>
      <c r="E464" s="16">
        <v>670.0</v>
      </c>
      <c r="F464" s="8" t="s">
        <v>10</v>
      </c>
      <c r="G464" s="9">
        <v>45555.0</v>
      </c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3">
        <v>45399.0</v>
      </c>
      <c r="B465" s="19" t="s">
        <v>214</v>
      </c>
      <c r="C465" s="19" t="s">
        <v>138</v>
      </c>
      <c r="D465" s="12">
        <v>1.0</v>
      </c>
      <c r="E465" s="16">
        <v>1400.0</v>
      </c>
      <c r="F465" s="8" t="s">
        <v>10</v>
      </c>
      <c r="G465" s="9">
        <v>45399.0</v>
      </c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3">
        <v>45399.0</v>
      </c>
      <c r="B466" s="19" t="s">
        <v>313</v>
      </c>
      <c r="C466" s="19" t="s">
        <v>138</v>
      </c>
      <c r="D466" s="12">
        <v>2.0</v>
      </c>
      <c r="E466" s="16">
        <v>1900.0</v>
      </c>
      <c r="F466" s="8" t="s">
        <v>10</v>
      </c>
      <c r="G466" s="9">
        <v>45399.0</v>
      </c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3">
        <v>45399.0</v>
      </c>
      <c r="B467" s="19" t="s">
        <v>183</v>
      </c>
      <c r="C467" s="19" t="s">
        <v>154</v>
      </c>
      <c r="D467" s="12">
        <v>2.0</v>
      </c>
      <c r="E467" s="16">
        <v>2092.0</v>
      </c>
      <c r="F467" s="8" t="s">
        <v>10</v>
      </c>
      <c r="G467" s="9">
        <v>45399.0</v>
      </c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3">
        <v>45400.0</v>
      </c>
      <c r="B468" s="19" t="s">
        <v>348</v>
      </c>
      <c r="C468" s="19" t="s">
        <v>138</v>
      </c>
      <c r="D468" s="12">
        <v>2.0</v>
      </c>
      <c r="E468" s="16">
        <v>1800.0</v>
      </c>
      <c r="F468" s="8" t="s">
        <v>10</v>
      </c>
      <c r="G468" s="9">
        <v>45400.0</v>
      </c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3">
        <v>45400.0</v>
      </c>
      <c r="B469" s="19" t="s">
        <v>349</v>
      </c>
      <c r="C469" s="19" t="s">
        <v>133</v>
      </c>
      <c r="D469" s="12">
        <v>4.0</v>
      </c>
      <c r="E469" s="16">
        <v>5600.0</v>
      </c>
      <c r="F469" s="8" t="s">
        <v>10</v>
      </c>
      <c r="G469" s="9">
        <v>45407.0</v>
      </c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3">
        <v>45401.0</v>
      </c>
      <c r="B470" s="19" t="s">
        <v>350</v>
      </c>
      <c r="C470" s="19" t="s">
        <v>138</v>
      </c>
      <c r="D470" s="12">
        <v>4.0</v>
      </c>
      <c r="E470" s="16">
        <v>5200.0</v>
      </c>
      <c r="F470" s="8" t="s">
        <v>10</v>
      </c>
      <c r="G470" s="9">
        <v>45401.0</v>
      </c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3">
        <v>45402.0</v>
      </c>
      <c r="B471" s="19" t="s">
        <v>191</v>
      </c>
      <c r="C471" s="19" t="s">
        <v>133</v>
      </c>
      <c r="D471" s="12">
        <v>4.0</v>
      </c>
      <c r="E471" s="16">
        <v>7600.0</v>
      </c>
      <c r="F471" s="8" t="s">
        <v>10</v>
      </c>
      <c r="G471" s="9">
        <v>45415.0</v>
      </c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3">
        <v>45404.0</v>
      </c>
      <c r="B472" s="19" t="s">
        <v>351</v>
      </c>
      <c r="C472" s="19" t="s">
        <v>156</v>
      </c>
      <c r="D472" s="12">
        <v>1.0</v>
      </c>
      <c r="E472" s="16">
        <v>825.0</v>
      </c>
      <c r="F472" s="8" t="s">
        <v>10</v>
      </c>
      <c r="G472" s="9">
        <v>45404.0</v>
      </c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3">
        <v>45404.0</v>
      </c>
      <c r="B473" s="19" t="s">
        <v>61</v>
      </c>
      <c r="C473" s="19" t="s">
        <v>154</v>
      </c>
      <c r="D473" s="12">
        <v>2.0</v>
      </c>
      <c r="E473" s="16">
        <v>1180.0</v>
      </c>
      <c r="F473" s="8" t="s">
        <v>10</v>
      </c>
      <c r="G473" s="9">
        <v>45404.0</v>
      </c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3">
        <v>45404.0</v>
      </c>
      <c r="B474" s="19" t="s">
        <v>352</v>
      </c>
      <c r="C474" s="19" t="s">
        <v>143</v>
      </c>
      <c r="D474" s="12">
        <v>1.0</v>
      </c>
      <c r="E474" s="16">
        <v>1300.0</v>
      </c>
      <c r="F474" s="8" t="s">
        <v>10</v>
      </c>
      <c r="G474" s="9">
        <v>45404.0</v>
      </c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3">
        <v>45404.0</v>
      </c>
      <c r="B475" s="19" t="s">
        <v>353</v>
      </c>
      <c r="C475" s="19" t="s">
        <v>83</v>
      </c>
      <c r="D475" s="12">
        <v>4.0</v>
      </c>
      <c r="E475" s="16">
        <v>6320.0</v>
      </c>
      <c r="F475" s="8" t="s">
        <v>10</v>
      </c>
      <c r="G475" s="9">
        <v>45555.0</v>
      </c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3">
        <v>45405.0</v>
      </c>
      <c r="B476" s="19" t="s">
        <v>354</v>
      </c>
      <c r="C476" s="19" t="s">
        <v>126</v>
      </c>
      <c r="D476" s="12">
        <v>2.0</v>
      </c>
      <c r="E476" s="16">
        <v>1500.0</v>
      </c>
      <c r="F476" s="8" t="s">
        <v>10</v>
      </c>
      <c r="G476" s="9">
        <v>45462.0</v>
      </c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3">
        <v>45405.0</v>
      </c>
      <c r="B477" s="19" t="s">
        <v>355</v>
      </c>
      <c r="C477" s="19" t="s">
        <v>143</v>
      </c>
      <c r="D477" s="12">
        <v>4.0</v>
      </c>
      <c r="E477" s="16">
        <v>4800.0</v>
      </c>
      <c r="F477" s="8" t="s">
        <v>10</v>
      </c>
      <c r="G477" s="9">
        <v>45406.0</v>
      </c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3">
        <v>45405.0</v>
      </c>
      <c r="B478" s="19" t="s">
        <v>356</v>
      </c>
      <c r="C478" s="19" t="s">
        <v>83</v>
      </c>
      <c r="D478" s="12">
        <v>1.0</v>
      </c>
      <c r="E478" s="16">
        <v>5150.0</v>
      </c>
      <c r="F478" s="8" t="s">
        <v>10</v>
      </c>
      <c r="G478" s="9">
        <v>45405.0</v>
      </c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3">
        <v>45406.0</v>
      </c>
      <c r="B479" s="19" t="s">
        <v>357</v>
      </c>
      <c r="C479" s="19" t="s">
        <v>136</v>
      </c>
      <c r="D479" s="12">
        <v>2.0</v>
      </c>
      <c r="E479" s="16">
        <v>2700.0</v>
      </c>
      <c r="F479" s="8" t="s">
        <v>10</v>
      </c>
      <c r="G479" s="9">
        <v>45407.0</v>
      </c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3">
        <v>45406.0</v>
      </c>
      <c r="B480" s="19" t="s">
        <v>358</v>
      </c>
      <c r="C480" s="19" t="s">
        <v>126</v>
      </c>
      <c r="D480" s="12">
        <v>2.0</v>
      </c>
      <c r="E480" s="16">
        <v>2800.0</v>
      </c>
      <c r="F480" s="8" t="s">
        <v>10</v>
      </c>
      <c r="G480" s="9">
        <v>45470.0</v>
      </c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3">
        <v>45406.0</v>
      </c>
      <c r="B481" s="19" t="s">
        <v>359</v>
      </c>
      <c r="C481" s="19" t="s">
        <v>128</v>
      </c>
      <c r="D481" s="12">
        <v>2.0</v>
      </c>
      <c r="E481" s="16">
        <v>3323.0</v>
      </c>
      <c r="F481" s="8" t="s">
        <v>10</v>
      </c>
      <c r="G481" s="9">
        <v>45408.0</v>
      </c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3">
        <v>45406.0</v>
      </c>
      <c r="B482" s="19" t="s">
        <v>360</v>
      </c>
      <c r="C482" s="19" t="s">
        <v>143</v>
      </c>
      <c r="D482" s="12">
        <v>4.0</v>
      </c>
      <c r="E482" s="16">
        <v>8800.0</v>
      </c>
      <c r="F482" s="8" t="s">
        <v>10</v>
      </c>
      <c r="G482" s="9">
        <v>45415.0</v>
      </c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3">
        <v>45408.0</v>
      </c>
      <c r="B483" s="19" t="s">
        <v>361</v>
      </c>
      <c r="C483" s="19" t="s">
        <v>138</v>
      </c>
      <c r="D483" s="12">
        <v>2.0</v>
      </c>
      <c r="E483" s="16">
        <v>2120.0</v>
      </c>
      <c r="F483" s="8" t="s">
        <v>10</v>
      </c>
      <c r="G483" s="9">
        <v>45408.0</v>
      </c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3">
        <v>45408.0</v>
      </c>
      <c r="B484" s="19" t="s">
        <v>362</v>
      </c>
      <c r="C484" s="19" t="s">
        <v>83</v>
      </c>
      <c r="D484" s="12">
        <v>2.0</v>
      </c>
      <c r="E484" s="16">
        <v>4400.0</v>
      </c>
      <c r="F484" s="8" t="s">
        <v>10</v>
      </c>
      <c r="G484" s="9">
        <v>45555.0</v>
      </c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3">
        <v>45408.0</v>
      </c>
      <c r="B485" s="19" t="s">
        <v>363</v>
      </c>
      <c r="C485" s="19" t="s">
        <v>138</v>
      </c>
      <c r="D485" s="12">
        <v>3.0</v>
      </c>
      <c r="E485" s="16">
        <v>4650.0</v>
      </c>
      <c r="F485" s="8" t="s">
        <v>10</v>
      </c>
      <c r="G485" s="9">
        <v>45434.0</v>
      </c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3">
        <v>45411.0</v>
      </c>
      <c r="B486" s="19" t="s">
        <v>364</v>
      </c>
      <c r="C486" s="19" t="s">
        <v>136</v>
      </c>
      <c r="D486" s="12">
        <v>2.0</v>
      </c>
      <c r="E486" s="16">
        <v>3400.0</v>
      </c>
      <c r="F486" s="8" t="s">
        <v>10</v>
      </c>
      <c r="G486" s="9">
        <v>45411.0</v>
      </c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3">
        <v>45411.0</v>
      </c>
      <c r="B487" s="19" t="s">
        <v>365</v>
      </c>
      <c r="C487" s="19" t="s">
        <v>133</v>
      </c>
      <c r="D487" s="12">
        <v>2.0</v>
      </c>
      <c r="E487" s="16">
        <v>3900.0</v>
      </c>
      <c r="F487" s="8" t="s">
        <v>10</v>
      </c>
      <c r="G487" s="9">
        <v>45429.0</v>
      </c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3">
        <v>45411.0</v>
      </c>
      <c r="B488" s="19" t="s">
        <v>366</v>
      </c>
      <c r="C488" s="19" t="s">
        <v>143</v>
      </c>
      <c r="D488" s="12">
        <v>4.0</v>
      </c>
      <c r="E488" s="16">
        <v>7400.0</v>
      </c>
      <c r="F488" s="8" t="s">
        <v>10</v>
      </c>
      <c r="G488" s="9">
        <v>45418.0</v>
      </c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3">
        <v>45412.0</v>
      </c>
      <c r="B489" s="19" t="s">
        <v>334</v>
      </c>
      <c r="C489" s="19" t="s">
        <v>126</v>
      </c>
      <c r="D489" s="12">
        <v>4.0</v>
      </c>
      <c r="E489" s="16">
        <v>3600.0</v>
      </c>
      <c r="F489" s="8" t="s">
        <v>10</v>
      </c>
      <c r="G489" s="9">
        <v>45470.0</v>
      </c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3">
        <v>45412.0</v>
      </c>
      <c r="B490" s="19" t="s">
        <v>367</v>
      </c>
      <c r="C490" s="19" t="s">
        <v>83</v>
      </c>
      <c r="D490" s="12">
        <v>4.0</v>
      </c>
      <c r="E490" s="16">
        <v>5520.0</v>
      </c>
      <c r="F490" s="8" t="s">
        <v>10</v>
      </c>
      <c r="G490" s="9">
        <v>45419.0</v>
      </c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3">
        <v>45412.0</v>
      </c>
      <c r="B491" s="19" t="s">
        <v>368</v>
      </c>
      <c r="C491" s="19" t="s">
        <v>143</v>
      </c>
      <c r="D491" s="12">
        <v>4.0</v>
      </c>
      <c r="E491" s="16">
        <v>8600.0</v>
      </c>
      <c r="F491" s="8" t="s">
        <v>10</v>
      </c>
      <c r="G491" s="9">
        <v>45414.0</v>
      </c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3">
        <v>45414.0</v>
      </c>
      <c r="B492" s="19" t="s">
        <v>239</v>
      </c>
      <c r="C492" s="19" t="s">
        <v>143</v>
      </c>
      <c r="D492" s="12">
        <v>1.0</v>
      </c>
      <c r="E492" s="16">
        <v>1150.0</v>
      </c>
      <c r="F492" s="8" t="s">
        <v>10</v>
      </c>
      <c r="G492" s="9">
        <v>45439.0</v>
      </c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3">
        <v>45414.0</v>
      </c>
      <c r="B493" s="19" t="s">
        <v>64</v>
      </c>
      <c r="C493" s="19" t="s">
        <v>138</v>
      </c>
      <c r="D493" s="12">
        <v>2.0</v>
      </c>
      <c r="E493" s="16">
        <v>1240.0</v>
      </c>
      <c r="F493" s="8" t="s">
        <v>10</v>
      </c>
      <c r="G493" s="9">
        <v>45414.0</v>
      </c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3">
        <v>45414.0</v>
      </c>
      <c r="B494" s="19" t="s">
        <v>369</v>
      </c>
      <c r="C494" s="19" t="s">
        <v>126</v>
      </c>
      <c r="D494" s="12">
        <v>2.0</v>
      </c>
      <c r="E494" s="16">
        <v>1300.0</v>
      </c>
      <c r="F494" s="8" t="s">
        <v>10</v>
      </c>
      <c r="G494" s="9">
        <v>45470.0</v>
      </c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3">
        <v>45414.0</v>
      </c>
      <c r="B495" s="19" t="s">
        <v>370</v>
      </c>
      <c r="C495" s="19" t="s">
        <v>143</v>
      </c>
      <c r="D495" s="12">
        <v>4.0</v>
      </c>
      <c r="E495" s="16">
        <v>4400.0</v>
      </c>
      <c r="F495" s="8" t="s">
        <v>10</v>
      </c>
      <c r="G495" s="9">
        <v>45428.0</v>
      </c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3">
        <v>45414.0</v>
      </c>
      <c r="B496" s="19" t="s">
        <v>371</v>
      </c>
      <c r="C496" s="19" t="s">
        <v>143</v>
      </c>
      <c r="D496" s="12">
        <v>4.0</v>
      </c>
      <c r="E496" s="16">
        <v>4800.0</v>
      </c>
      <c r="F496" s="8" t="s">
        <v>10</v>
      </c>
      <c r="G496" s="9">
        <v>45428.0</v>
      </c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3">
        <v>45415.0</v>
      </c>
      <c r="B497" s="19" t="s">
        <v>271</v>
      </c>
      <c r="C497" s="19" t="s">
        <v>133</v>
      </c>
      <c r="D497" s="12">
        <v>2.0</v>
      </c>
      <c r="E497" s="16">
        <v>2000.0</v>
      </c>
      <c r="F497" s="8" t="s">
        <v>10</v>
      </c>
      <c r="G497" s="9">
        <v>45455.0</v>
      </c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3">
        <v>45415.0</v>
      </c>
      <c r="B498" s="19" t="s">
        <v>372</v>
      </c>
      <c r="C498" s="19" t="s">
        <v>133</v>
      </c>
      <c r="D498" s="12">
        <v>2.0</v>
      </c>
      <c r="E498" s="16">
        <v>2300.0</v>
      </c>
      <c r="F498" s="8" t="s">
        <v>10</v>
      </c>
      <c r="G498" s="9">
        <v>45455.0</v>
      </c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3">
        <v>45418.0</v>
      </c>
      <c r="B499" s="19" t="s">
        <v>155</v>
      </c>
      <c r="C499" s="19" t="s">
        <v>156</v>
      </c>
      <c r="D499" s="12">
        <v>2.0</v>
      </c>
      <c r="E499" s="16">
        <v>1203.0</v>
      </c>
      <c r="F499" s="8" t="s">
        <v>10</v>
      </c>
      <c r="G499" s="9">
        <v>45418.0</v>
      </c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3">
        <v>45418.0</v>
      </c>
      <c r="B500" s="19" t="s">
        <v>183</v>
      </c>
      <c r="C500" s="19" t="s">
        <v>154</v>
      </c>
      <c r="D500" s="12">
        <v>2.0</v>
      </c>
      <c r="E500" s="16">
        <v>2091.0</v>
      </c>
      <c r="F500" s="9" t="s">
        <v>10</v>
      </c>
      <c r="G500" s="9">
        <v>45418.0</v>
      </c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3">
        <v>45418.0</v>
      </c>
      <c r="B501" s="19" t="s">
        <v>373</v>
      </c>
      <c r="C501" s="19" t="s">
        <v>143</v>
      </c>
      <c r="D501" s="12">
        <v>4.0</v>
      </c>
      <c r="E501" s="16">
        <v>5200.0</v>
      </c>
      <c r="F501" s="8" t="s">
        <v>10</v>
      </c>
      <c r="G501" s="9">
        <v>45439.0</v>
      </c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3">
        <v>45419.0</v>
      </c>
      <c r="B502" s="19" t="s">
        <v>185</v>
      </c>
      <c r="C502" s="19" t="s">
        <v>133</v>
      </c>
      <c r="D502" s="12">
        <v>1.0</v>
      </c>
      <c r="E502" s="16">
        <v>1050.0</v>
      </c>
      <c r="F502" s="9" t="s">
        <v>10</v>
      </c>
      <c r="G502" s="9">
        <v>45422.0</v>
      </c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3">
        <v>45420.0</v>
      </c>
      <c r="B503" s="19" t="s">
        <v>177</v>
      </c>
      <c r="C503" s="19" t="s">
        <v>83</v>
      </c>
      <c r="D503" s="12">
        <v>2.0</v>
      </c>
      <c r="E503" s="24">
        <v>2600.0</v>
      </c>
      <c r="F503" s="8" t="s">
        <v>10</v>
      </c>
      <c r="G503" s="9">
        <v>45651.0</v>
      </c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3">
        <v>45421.0</v>
      </c>
      <c r="B504" s="19" t="s">
        <v>374</v>
      </c>
      <c r="C504" s="19" t="s">
        <v>154</v>
      </c>
      <c r="D504" s="12">
        <v>4.0</v>
      </c>
      <c r="E504" s="16">
        <v>2900.0</v>
      </c>
      <c r="F504" s="9" t="s">
        <v>10</v>
      </c>
      <c r="G504" s="9">
        <v>45421.0</v>
      </c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3">
        <v>45423.0</v>
      </c>
      <c r="B505" s="19" t="s">
        <v>245</v>
      </c>
      <c r="C505" s="19" t="s">
        <v>83</v>
      </c>
      <c r="D505" s="12">
        <v>4.0</v>
      </c>
      <c r="E505" s="24">
        <v>4000.0</v>
      </c>
      <c r="F505" s="8" t="s">
        <v>10</v>
      </c>
      <c r="G505" s="9">
        <v>45651.0</v>
      </c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3">
        <v>45425.0</v>
      </c>
      <c r="B506" s="19" t="s">
        <v>375</v>
      </c>
      <c r="C506" s="19" t="s">
        <v>138</v>
      </c>
      <c r="D506" s="12">
        <v>2.0</v>
      </c>
      <c r="E506" s="16">
        <v>1250.0</v>
      </c>
      <c r="F506" s="9" t="s">
        <v>10</v>
      </c>
      <c r="G506" s="9">
        <v>45425.0</v>
      </c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3">
        <v>45425.0</v>
      </c>
      <c r="B507" s="19" t="s">
        <v>165</v>
      </c>
      <c r="C507" s="19" t="s">
        <v>126</v>
      </c>
      <c r="D507" s="12">
        <v>4.0</v>
      </c>
      <c r="E507" s="16">
        <v>3720.0</v>
      </c>
      <c r="F507" s="8" t="s">
        <v>10</v>
      </c>
      <c r="G507" s="9">
        <v>45470.0</v>
      </c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3">
        <v>45425.0</v>
      </c>
      <c r="B508" s="19" t="s">
        <v>376</v>
      </c>
      <c r="C508" s="19" t="s">
        <v>138</v>
      </c>
      <c r="D508" s="12">
        <v>2.0</v>
      </c>
      <c r="E508" s="16">
        <v>3900.0</v>
      </c>
      <c r="F508" s="9" t="s">
        <v>10</v>
      </c>
      <c r="G508" s="9">
        <v>45425.0</v>
      </c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3">
        <v>45426.0</v>
      </c>
      <c r="B509" s="19" t="s">
        <v>185</v>
      </c>
      <c r="C509" s="19" t="s">
        <v>377</v>
      </c>
      <c r="D509" s="12">
        <v>1.0</v>
      </c>
      <c r="E509" s="16">
        <v>1050.0</v>
      </c>
      <c r="F509" s="9" t="s">
        <v>10</v>
      </c>
      <c r="G509" s="9">
        <v>45432.0</v>
      </c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3">
        <v>45426.0</v>
      </c>
      <c r="B510" s="19" t="s">
        <v>378</v>
      </c>
      <c r="C510" s="19" t="s">
        <v>154</v>
      </c>
      <c r="D510" s="12">
        <v>1.0</v>
      </c>
      <c r="E510" s="16">
        <v>1690.0</v>
      </c>
      <c r="F510" s="9" t="s">
        <v>10</v>
      </c>
      <c r="G510" s="9">
        <v>45426.0</v>
      </c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3">
        <v>45426.0</v>
      </c>
      <c r="B511" s="19" t="s">
        <v>379</v>
      </c>
      <c r="C511" s="19" t="s">
        <v>156</v>
      </c>
      <c r="D511" s="12">
        <v>1.0</v>
      </c>
      <c r="E511" s="16">
        <v>1700.0</v>
      </c>
      <c r="F511" s="9" t="s">
        <v>10</v>
      </c>
      <c r="G511" s="9">
        <v>45426.0</v>
      </c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3">
        <v>45426.0</v>
      </c>
      <c r="B512" s="19" t="s">
        <v>380</v>
      </c>
      <c r="C512" s="19" t="s">
        <v>83</v>
      </c>
      <c r="D512" s="12">
        <v>1.0</v>
      </c>
      <c r="E512" s="24">
        <v>2480.0</v>
      </c>
      <c r="F512" s="8" t="s">
        <v>10</v>
      </c>
      <c r="G512" s="9">
        <v>45651.0</v>
      </c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3">
        <v>45426.0</v>
      </c>
      <c r="B513" s="19" t="s">
        <v>144</v>
      </c>
      <c r="C513" s="19" t="s">
        <v>83</v>
      </c>
      <c r="D513" s="12">
        <v>2.0</v>
      </c>
      <c r="E513" s="24">
        <v>4300.0</v>
      </c>
      <c r="F513" s="8" t="s">
        <v>10</v>
      </c>
      <c r="G513" s="9">
        <v>45651.0</v>
      </c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3">
        <v>45427.0</v>
      </c>
      <c r="B514" s="19" t="s">
        <v>212</v>
      </c>
      <c r="C514" s="19" t="s">
        <v>138</v>
      </c>
      <c r="D514" s="12">
        <v>1.0</v>
      </c>
      <c r="E514" s="16">
        <v>815.0</v>
      </c>
      <c r="F514" s="9" t="s">
        <v>10</v>
      </c>
      <c r="G514" s="9">
        <v>45427.0</v>
      </c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3">
        <v>45427.0</v>
      </c>
      <c r="B515" s="19" t="s">
        <v>351</v>
      </c>
      <c r="C515" s="19" t="s">
        <v>156</v>
      </c>
      <c r="D515" s="12">
        <v>1.0</v>
      </c>
      <c r="E515" s="16">
        <v>825.0</v>
      </c>
      <c r="F515" s="9" t="s">
        <v>10</v>
      </c>
      <c r="G515" s="9">
        <v>45427.0</v>
      </c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3">
        <v>45427.0</v>
      </c>
      <c r="B516" s="19" t="s">
        <v>381</v>
      </c>
      <c r="C516" s="19" t="s">
        <v>126</v>
      </c>
      <c r="D516" s="12">
        <v>4.0</v>
      </c>
      <c r="E516" s="16">
        <v>1960.0</v>
      </c>
      <c r="F516" s="8" t="s">
        <v>10</v>
      </c>
      <c r="G516" s="9">
        <v>45485.0</v>
      </c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3">
        <v>45427.0</v>
      </c>
      <c r="B517" s="19" t="s">
        <v>17</v>
      </c>
      <c r="C517" s="19" t="s">
        <v>133</v>
      </c>
      <c r="D517" s="12">
        <v>2.0</v>
      </c>
      <c r="E517" s="16">
        <v>2500.0</v>
      </c>
      <c r="F517" s="8" t="s">
        <v>10</v>
      </c>
      <c r="G517" s="9">
        <v>45455.0</v>
      </c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3">
        <v>45428.0</v>
      </c>
      <c r="B518" s="19" t="s">
        <v>55</v>
      </c>
      <c r="C518" s="19" t="s">
        <v>159</v>
      </c>
      <c r="D518" s="12">
        <v>2.0</v>
      </c>
      <c r="E518" s="16">
        <v>2360.0</v>
      </c>
      <c r="F518" s="9" t="s">
        <v>10</v>
      </c>
      <c r="G518" s="9">
        <v>45428.0</v>
      </c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3">
        <v>45428.0</v>
      </c>
      <c r="B519" s="19" t="s">
        <v>382</v>
      </c>
      <c r="C519" s="19" t="s">
        <v>143</v>
      </c>
      <c r="D519" s="12">
        <v>2.0</v>
      </c>
      <c r="E519" s="16">
        <v>4800.0</v>
      </c>
      <c r="F519" s="8" t="s">
        <v>10</v>
      </c>
      <c r="G519" s="9">
        <v>45441.0</v>
      </c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3">
        <v>45429.0</v>
      </c>
      <c r="B520" s="19" t="s">
        <v>383</v>
      </c>
      <c r="C520" s="19" t="s">
        <v>133</v>
      </c>
      <c r="D520" s="12">
        <v>1.0</v>
      </c>
      <c r="E520" s="16">
        <v>1850.0</v>
      </c>
      <c r="F520" s="9" t="s">
        <v>10</v>
      </c>
      <c r="G520" s="9">
        <v>45430.0</v>
      </c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3">
        <v>45430.0</v>
      </c>
      <c r="B521" s="19" t="s">
        <v>384</v>
      </c>
      <c r="C521" s="19" t="s">
        <v>133</v>
      </c>
      <c r="D521" s="12">
        <v>2.0</v>
      </c>
      <c r="E521" s="16">
        <v>2900.0</v>
      </c>
      <c r="F521" s="9" t="s">
        <v>10</v>
      </c>
      <c r="G521" s="9">
        <v>45430.0</v>
      </c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3">
        <v>45432.0</v>
      </c>
      <c r="B522" s="19" t="s">
        <v>39</v>
      </c>
      <c r="C522" s="19" t="s">
        <v>143</v>
      </c>
      <c r="D522" s="12">
        <v>2.0</v>
      </c>
      <c r="E522" s="16">
        <v>2100.0</v>
      </c>
      <c r="F522" s="8" t="s">
        <v>10</v>
      </c>
      <c r="G522" s="9">
        <v>45446.0</v>
      </c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3">
        <v>45432.0</v>
      </c>
      <c r="B523" s="19" t="s">
        <v>289</v>
      </c>
      <c r="C523" s="19" t="s">
        <v>377</v>
      </c>
      <c r="D523" s="12">
        <v>2.0</v>
      </c>
      <c r="E523" s="16">
        <v>3900.0</v>
      </c>
      <c r="F523" s="9" t="s">
        <v>10</v>
      </c>
      <c r="G523" s="9">
        <v>45432.0</v>
      </c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3">
        <v>45432.0</v>
      </c>
      <c r="B524" s="19" t="s">
        <v>361</v>
      </c>
      <c r="C524" s="19" t="s">
        <v>138</v>
      </c>
      <c r="D524" s="12">
        <v>4.0</v>
      </c>
      <c r="E524" s="16">
        <v>4240.0</v>
      </c>
      <c r="F524" s="9" t="s">
        <v>10</v>
      </c>
      <c r="G524" s="9">
        <v>45432.0</v>
      </c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3">
        <v>45433.0</v>
      </c>
      <c r="B525" s="19" t="s">
        <v>351</v>
      </c>
      <c r="C525" s="19" t="s">
        <v>156</v>
      </c>
      <c r="D525" s="12">
        <v>1.0</v>
      </c>
      <c r="E525" s="16">
        <v>825.0</v>
      </c>
      <c r="F525" s="9" t="s">
        <v>10</v>
      </c>
      <c r="G525" s="9">
        <v>45433.0</v>
      </c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3">
        <v>45433.0</v>
      </c>
      <c r="B526" s="19" t="s">
        <v>265</v>
      </c>
      <c r="C526" s="19" t="s">
        <v>138</v>
      </c>
      <c r="D526" s="12">
        <v>1.0</v>
      </c>
      <c r="E526" s="16">
        <v>1150.0</v>
      </c>
      <c r="F526" s="9" t="s">
        <v>10</v>
      </c>
      <c r="G526" s="9">
        <v>45433.0</v>
      </c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3">
        <v>45433.0</v>
      </c>
      <c r="B527" s="19" t="s">
        <v>270</v>
      </c>
      <c r="C527" s="19" t="s">
        <v>325</v>
      </c>
      <c r="D527" s="12">
        <v>4.0</v>
      </c>
      <c r="E527" s="16">
        <v>2680.0</v>
      </c>
      <c r="F527" s="8" t="s">
        <v>10</v>
      </c>
      <c r="G527" s="9">
        <v>45437.0</v>
      </c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3">
        <v>45433.0</v>
      </c>
      <c r="B528" s="19" t="s">
        <v>385</v>
      </c>
      <c r="C528" s="19" t="s">
        <v>325</v>
      </c>
      <c r="D528" s="12">
        <v>4.0</v>
      </c>
      <c r="E528" s="16">
        <v>5200.0</v>
      </c>
      <c r="F528" s="8" t="s">
        <v>10</v>
      </c>
      <c r="G528" s="9">
        <v>45542.0</v>
      </c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3">
        <v>45434.0</v>
      </c>
      <c r="B529" s="19" t="s">
        <v>386</v>
      </c>
      <c r="C529" s="19" t="s">
        <v>257</v>
      </c>
      <c r="D529" s="12">
        <v>1.0</v>
      </c>
      <c r="E529" s="16">
        <v>1270.0</v>
      </c>
      <c r="F529" s="9" t="s">
        <v>10</v>
      </c>
      <c r="G529" s="9">
        <v>45434.0</v>
      </c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3">
        <v>45434.0</v>
      </c>
      <c r="B530" s="19" t="s">
        <v>387</v>
      </c>
      <c r="C530" s="19" t="s">
        <v>133</v>
      </c>
      <c r="D530" s="12">
        <v>1.0</v>
      </c>
      <c r="E530" s="16">
        <v>1550.0</v>
      </c>
      <c r="F530" s="8" t="s">
        <v>10</v>
      </c>
      <c r="G530" s="9">
        <v>45455.0</v>
      </c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3">
        <v>45435.0</v>
      </c>
      <c r="B531" s="19" t="s">
        <v>388</v>
      </c>
      <c r="C531" s="19" t="s">
        <v>128</v>
      </c>
      <c r="D531" s="12">
        <v>2.0</v>
      </c>
      <c r="E531" s="16">
        <v>1200.0</v>
      </c>
      <c r="F531" s="9" t="s">
        <v>10</v>
      </c>
      <c r="G531" s="9">
        <v>45436.0</v>
      </c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3">
        <v>45435.0</v>
      </c>
      <c r="B532" s="19" t="s">
        <v>296</v>
      </c>
      <c r="C532" s="19" t="s">
        <v>154</v>
      </c>
      <c r="D532" s="12">
        <v>1.0</v>
      </c>
      <c r="E532" s="16">
        <v>1288.0</v>
      </c>
      <c r="F532" s="9" t="s">
        <v>10</v>
      </c>
      <c r="G532" s="9">
        <v>45435.0</v>
      </c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3">
        <v>45435.0</v>
      </c>
      <c r="B533" s="19" t="s">
        <v>389</v>
      </c>
      <c r="C533" s="19" t="s">
        <v>133</v>
      </c>
      <c r="D533" s="12">
        <v>2.0</v>
      </c>
      <c r="E533" s="16">
        <v>2100.0</v>
      </c>
      <c r="F533" s="9" t="s">
        <v>10</v>
      </c>
      <c r="G533" s="9">
        <v>45436.0</v>
      </c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3">
        <v>45435.0</v>
      </c>
      <c r="B534" s="19" t="s">
        <v>268</v>
      </c>
      <c r="C534" s="19" t="s">
        <v>156</v>
      </c>
      <c r="D534" s="12">
        <v>2.0</v>
      </c>
      <c r="E534" s="16">
        <v>2231.0</v>
      </c>
      <c r="F534" s="9" t="s">
        <v>10</v>
      </c>
      <c r="G534" s="9">
        <v>45435.0</v>
      </c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3">
        <v>45435.0</v>
      </c>
      <c r="B535" s="19" t="s">
        <v>390</v>
      </c>
      <c r="C535" s="19" t="s">
        <v>143</v>
      </c>
      <c r="D535" s="12">
        <v>2.0</v>
      </c>
      <c r="E535" s="16">
        <v>3600.0</v>
      </c>
      <c r="F535" s="8" t="s">
        <v>10</v>
      </c>
      <c r="G535" s="9">
        <v>45440.0</v>
      </c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3">
        <v>45435.0</v>
      </c>
      <c r="B536" s="19" t="s">
        <v>391</v>
      </c>
      <c r="C536" s="19" t="s">
        <v>377</v>
      </c>
      <c r="D536" s="12">
        <v>2.0</v>
      </c>
      <c r="E536" s="16">
        <v>4000.0</v>
      </c>
      <c r="F536" s="8" t="s">
        <v>10</v>
      </c>
      <c r="G536" s="9">
        <v>45443.0</v>
      </c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3">
        <v>45435.0</v>
      </c>
      <c r="B537" s="19" t="s">
        <v>166</v>
      </c>
      <c r="C537" s="19" t="s">
        <v>133</v>
      </c>
      <c r="D537" s="12">
        <v>4.0</v>
      </c>
      <c r="E537" s="16">
        <v>6400.0</v>
      </c>
      <c r="F537" s="9" t="s">
        <v>10</v>
      </c>
      <c r="G537" s="9">
        <v>45436.0</v>
      </c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3">
        <v>45436.0</v>
      </c>
      <c r="B538" s="19" t="s">
        <v>381</v>
      </c>
      <c r="C538" s="19" t="s">
        <v>126</v>
      </c>
      <c r="D538" s="12">
        <v>2.0</v>
      </c>
      <c r="E538" s="16">
        <v>980.0</v>
      </c>
      <c r="F538" s="8" t="s">
        <v>10</v>
      </c>
      <c r="G538" s="9">
        <v>45485.0</v>
      </c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3">
        <v>45436.0</v>
      </c>
      <c r="B539" s="19" t="s">
        <v>392</v>
      </c>
      <c r="C539" s="19" t="s">
        <v>377</v>
      </c>
      <c r="D539" s="12">
        <v>2.0</v>
      </c>
      <c r="E539" s="16">
        <v>2120.0</v>
      </c>
      <c r="F539" s="9" t="s">
        <v>10</v>
      </c>
      <c r="G539" s="9">
        <v>45436.0</v>
      </c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3">
        <v>45436.0</v>
      </c>
      <c r="B540" s="19" t="s">
        <v>361</v>
      </c>
      <c r="C540" s="19" t="s">
        <v>138</v>
      </c>
      <c r="D540" s="12">
        <v>4.0</v>
      </c>
      <c r="E540" s="16">
        <v>4240.0</v>
      </c>
      <c r="F540" s="9" t="s">
        <v>10</v>
      </c>
      <c r="G540" s="9">
        <v>45436.0</v>
      </c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3">
        <v>45437.0</v>
      </c>
      <c r="B541" s="19" t="s">
        <v>393</v>
      </c>
      <c r="C541" s="19" t="s">
        <v>143</v>
      </c>
      <c r="D541" s="12">
        <v>1.0</v>
      </c>
      <c r="E541" s="16">
        <v>2000.0</v>
      </c>
      <c r="F541" s="8" t="s">
        <v>10</v>
      </c>
      <c r="G541" s="9">
        <v>45456.0</v>
      </c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3">
        <v>45437.0</v>
      </c>
      <c r="B542" s="19" t="s">
        <v>394</v>
      </c>
      <c r="C542" s="19" t="s">
        <v>143</v>
      </c>
      <c r="D542" s="12">
        <v>2.0</v>
      </c>
      <c r="E542" s="16">
        <v>3500.0</v>
      </c>
      <c r="F542" s="8" t="s">
        <v>10</v>
      </c>
      <c r="G542" s="9">
        <v>45446.0</v>
      </c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3">
        <v>45439.0</v>
      </c>
      <c r="B543" s="19" t="s">
        <v>395</v>
      </c>
      <c r="C543" s="19" t="s">
        <v>154</v>
      </c>
      <c r="D543" s="12">
        <v>1.0</v>
      </c>
      <c r="E543" s="16">
        <v>1500.0</v>
      </c>
      <c r="F543" s="8" t="s">
        <v>10</v>
      </c>
      <c r="G543" s="9">
        <v>45439.0</v>
      </c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3">
        <v>45439.0</v>
      </c>
      <c r="B544" s="19" t="s">
        <v>396</v>
      </c>
      <c r="C544" s="19" t="s">
        <v>128</v>
      </c>
      <c r="D544" s="12">
        <v>1.0</v>
      </c>
      <c r="E544" s="16">
        <v>1757.0</v>
      </c>
      <c r="F544" s="8" t="s">
        <v>10</v>
      </c>
      <c r="G544" s="9">
        <v>45439.0</v>
      </c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3">
        <v>45439.0</v>
      </c>
      <c r="B545" s="19" t="s">
        <v>375</v>
      </c>
      <c r="C545" s="19" t="s">
        <v>138</v>
      </c>
      <c r="D545" s="12">
        <v>4.0</v>
      </c>
      <c r="E545" s="16">
        <v>2560.0</v>
      </c>
      <c r="F545" s="8" t="s">
        <v>10</v>
      </c>
      <c r="G545" s="9">
        <v>45439.0</v>
      </c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3">
        <v>45439.0</v>
      </c>
      <c r="B546" s="19" t="s">
        <v>397</v>
      </c>
      <c r="C546" s="19" t="s">
        <v>143</v>
      </c>
      <c r="D546" s="12">
        <v>2.0</v>
      </c>
      <c r="E546" s="16">
        <v>2700.0</v>
      </c>
      <c r="F546" s="8" t="s">
        <v>10</v>
      </c>
      <c r="G546" s="9">
        <v>45456.0</v>
      </c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3">
        <v>45440.0</v>
      </c>
      <c r="B547" s="19" t="s">
        <v>398</v>
      </c>
      <c r="C547" s="19" t="s">
        <v>143</v>
      </c>
      <c r="D547" s="12">
        <v>1.0</v>
      </c>
      <c r="E547" s="16">
        <v>1170.0</v>
      </c>
      <c r="F547" s="8" t="s">
        <v>10</v>
      </c>
      <c r="G547" s="9">
        <v>45456.0</v>
      </c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3">
        <v>45441.0</v>
      </c>
      <c r="B548" s="19" t="s">
        <v>399</v>
      </c>
      <c r="C548" s="19" t="s">
        <v>83</v>
      </c>
      <c r="D548" s="12">
        <v>1.0</v>
      </c>
      <c r="E548" s="24">
        <v>1650.0</v>
      </c>
      <c r="F548" s="8" t="s">
        <v>10</v>
      </c>
      <c r="G548" s="9">
        <v>45651.0</v>
      </c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3">
        <v>45441.0</v>
      </c>
      <c r="B549" s="19" t="s">
        <v>281</v>
      </c>
      <c r="C549" s="19" t="s">
        <v>325</v>
      </c>
      <c r="D549" s="12">
        <v>1.0</v>
      </c>
      <c r="E549" s="16">
        <v>1800.0</v>
      </c>
      <c r="F549" s="8" t="s">
        <v>10</v>
      </c>
      <c r="G549" s="9">
        <v>45542.0</v>
      </c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3">
        <v>45441.0</v>
      </c>
      <c r="B550" s="19" t="s">
        <v>400</v>
      </c>
      <c r="C550" s="19" t="s">
        <v>126</v>
      </c>
      <c r="D550" s="12">
        <v>2.0</v>
      </c>
      <c r="E550" s="16">
        <v>1920.0</v>
      </c>
      <c r="F550" s="8" t="s">
        <v>10</v>
      </c>
      <c r="G550" s="9">
        <v>45485.0</v>
      </c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3">
        <v>45441.0</v>
      </c>
      <c r="B551" s="19" t="s">
        <v>54</v>
      </c>
      <c r="C551" s="19" t="s">
        <v>143</v>
      </c>
      <c r="D551" s="12">
        <v>2.0</v>
      </c>
      <c r="E551" s="16">
        <v>2400.0</v>
      </c>
      <c r="F551" s="8" t="s">
        <v>10</v>
      </c>
      <c r="G551" s="9">
        <v>45456.0</v>
      </c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3">
        <v>45442.0</v>
      </c>
      <c r="B552" s="19" t="s">
        <v>401</v>
      </c>
      <c r="C552" s="19" t="s">
        <v>156</v>
      </c>
      <c r="D552" s="12">
        <v>4.0</v>
      </c>
      <c r="E552" s="16">
        <v>1670.0</v>
      </c>
      <c r="F552" s="8" t="s">
        <v>10</v>
      </c>
      <c r="G552" s="9">
        <v>45443.0</v>
      </c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3">
        <v>45442.0</v>
      </c>
      <c r="B553" s="19" t="s">
        <v>286</v>
      </c>
      <c r="C553" s="19" t="s">
        <v>138</v>
      </c>
      <c r="D553" s="12">
        <v>4.0</v>
      </c>
      <c r="E553" s="16">
        <v>2460.0</v>
      </c>
      <c r="F553" s="8" t="s">
        <v>10</v>
      </c>
      <c r="G553" s="9">
        <v>45442.0</v>
      </c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3">
        <v>45442.0</v>
      </c>
      <c r="B554" s="19" t="s">
        <v>402</v>
      </c>
      <c r="C554" s="19" t="s">
        <v>377</v>
      </c>
      <c r="D554" s="12">
        <v>2.0</v>
      </c>
      <c r="E554" s="16">
        <v>2800.0</v>
      </c>
      <c r="F554" s="8" t="s">
        <v>10</v>
      </c>
      <c r="G554" s="9">
        <v>45443.0</v>
      </c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3">
        <v>45442.0</v>
      </c>
      <c r="B555" s="19" t="s">
        <v>403</v>
      </c>
      <c r="C555" s="19" t="s">
        <v>143</v>
      </c>
      <c r="D555" s="12">
        <v>4.0</v>
      </c>
      <c r="E555" s="16">
        <v>4400.0</v>
      </c>
      <c r="F555" s="8" t="s">
        <v>10</v>
      </c>
      <c r="G555" s="9">
        <v>45456.0</v>
      </c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3">
        <v>45443.0</v>
      </c>
      <c r="B556" s="19" t="s">
        <v>404</v>
      </c>
      <c r="C556" s="19" t="s">
        <v>377</v>
      </c>
      <c r="D556" s="12">
        <v>1.0</v>
      </c>
      <c r="E556" s="16">
        <v>1400.0</v>
      </c>
      <c r="F556" s="8" t="s">
        <v>10</v>
      </c>
      <c r="G556" s="9">
        <v>45443.0</v>
      </c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3">
        <v>45443.0</v>
      </c>
      <c r="B557" s="19" t="s">
        <v>229</v>
      </c>
      <c r="C557" s="19" t="s">
        <v>405</v>
      </c>
      <c r="D557" s="12">
        <v>3.0</v>
      </c>
      <c r="E557" s="16">
        <v>5100.0</v>
      </c>
      <c r="F557" s="8" t="s">
        <v>10</v>
      </c>
      <c r="G557" s="9">
        <v>45444.0</v>
      </c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3">
        <v>45443.0</v>
      </c>
      <c r="B558" s="19" t="s">
        <v>406</v>
      </c>
      <c r="C558" s="19" t="s">
        <v>138</v>
      </c>
      <c r="D558" s="12">
        <v>4.0</v>
      </c>
      <c r="E558" s="16">
        <v>8000.0</v>
      </c>
      <c r="F558" s="8" t="s">
        <v>10</v>
      </c>
      <c r="G558" s="9">
        <v>45455.0</v>
      </c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3">
        <v>45444.0</v>
      </c>
      <c r="B559" s="19" t="s">
        <v>404</v>
      </c>
      <c r="C559" s="19" t="s">
        <v>377</v>
      </c>
      <c r="D559" s="12">
        <v>1.0</v>
      </c>
      <c r="E559" s="16">
        <v>1350.0</v>
      </c>
      <c r="F559" s="8" t="s">
        <v>10</v>
      </c>
      <c r="G559" s="9">
        <v>45453.0</v>
      </c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3">
        <v>45444.0</v>
      </c>
      <c r="B560" s="19" t="s">
        <v>229</v>
      </c>
      <c r="C560" s="19" t="s">
        <v>407</v>
      </c>
      <c r="D560" s="12">
        <v>1.0</v>
      </c>
      <c r="E560" s="16">
        <v>1900.0</v>
      </c>
      <c r="F560" s="8" t="s">
        <v>10</v>
      </c>
      <c r="G560" s="9">
        <v>45444.0</v>
      </c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3">
        <v>45446.0</v>
      </c>
      <c r="B561" s="19" t="s">
        <v>213</v>
      </c>
      <c r="C561" s="19" t="s">
        <v>377</v>
      </c>
      <c r="D561" s="12">
        <v>1.0</v>
      </c>
      <c r="E561" s="16">
        <v>1160.0</v>
      </c>
      <c r="F561" s="8" t="s">
        <v>10</v>
      </c>
      <c r="G561" s="9">
        <v>45453.0</v>
      </c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3">
        <v>45446.0</v>
      </c>
      <c r="B562" s="19" t="s">
        <v>408</v>
      </c>
      <c r="C562" s="19" t="s">
        <v>377</v>
      </c>
      <c r="D562" s="12">
        <v>2.0</v>
      </c>
      <c r="E562" s="16">
        <v>2800.0</v>
      </c>
      <c r="F562" s="8" t="s">
        <v>10</v>
      </c>
      <c r="G562" s="9">
        <v>45453.0</v>
      </c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3">
        <v>45446.0</v>
      </c>
      <c r="B563" s="19" t="s">
        <v>47</v>
      </c>
      <c r="C563" s="19" t="s">
        <v>143</v>
      </c>
      <c r="D563" s="12">
        <v>2.0</v>
      </c>
      <c r="E563" s="16">
        <v>3000.0</v>
      </c>
      <c r="F563" s="8" t="s">
        <v>10</v>
      </c>
      <c r="G563" s="9">
        <v>45481.0</v>
      </c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3">
        <v>45446.0</v>
      </c>
      <c r="B564" s="19" t="s">
        <v>409</v>
      </c>
      <c r="C564" s="19" t="s">
        <v>133</v>
      </c>
      <c r="D564" s="12">
        <v>4.0</v>
      </c>
      <c r="E564" s="16">
        <v>5200.0</v>
      </c>
      <c r="F564" s="8" t="s">
        <v>10</v>
      </c>
      <c r="G564" s="9">
        <v>45471.0</v>
      </c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3">
        <v>45446.0</v>
      </c>
      <c r="B565" s="19" t="s">
        <v>410</v>
      </c>
      <c r="C565" s="19" t="s">
        <v>377</v>
      </c>
      <c r="D565" s="12">
        <v>4.0</v>
      </c>
      <c r="E565" s="16">
        <v>8200.0</v>
      </c>
      <c r="F565" s="8" t="s">
        <v>10</v>
      </c>
      <c r="G565" s="9">
        <v>45453.0</v>
      </c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3">
        <v>45447.0</v>
      </c>
      <c r="B566" s="19" t="s">
        <v>286</v>
      </c>
      <c r="C566" s="19" t="s">
        <v>138</v>
      </c>
      <c r="D566" s="12">
        <v>4.0</v>
      </c>
      <c r="E566" s="16">
        <v>1230.0</v>
      </c>
      <c r="F566" s="8" t="s">
        <v>10</v>
      </c>
      <c r="G566" s="9">
        <v>45447.0</v>
      </c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3">
        <v>45447.0</v>
      </c>
      <c r="B567" s="19" t="s">
        <v>359</v>
      </c>
      <c r="C567" s="19" t="s">
        <v>126</v>
      </c>
      <c r="D567" s="12">
        <v>1.0</v>
      </c>
      <c r="E567" s="16">
        <v>1800.0</v>
      </c>
      <c r="F567" s="8" t="s">
        <v>10</v>
      </c>
      <c r="G567" s="9">
        <v>45506.0</v>
      </c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3">
        <v>45447.0</v>
      </c>
      <c r="B568" s="19" t="s">
        <v>411</v>
      </c>
      <c r="C568" s="19" t="s">
        <v>143</v>
      </c>
      <c r="D568" s="12">
        <v>1.0</v>
      </c>
      <c r="E568" s="16">
        <v>2400.0</v>
      </c>
      <c r="F568" s="8" t="s">
        <v>10</v>
      </c>
      <c r="G568" s="9">
        <v>45481.0</v>
      </c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3">
        <v>45447.0</v>
      </c>
      <c r="B569" s="19" t="s">
        <v>412</v>
      </c>
      <c r="C569" s="19" t="s">
        <v>138</v>
      </c>
      <c r="D569" s="12">
        <v>2.0</v>
      </c>
      <c r="E569" s="16">
        <v>2900.0</v>
      </c>
      <c r="F569" s="8" t="s">
        <v>10</v>
      </c>
      <c r="G569" s="9">
        <v>45447.0</v>
      </c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3">
        <v>45448.0</v>
      </c>
      <c r="B570" s="19" t="s">
        <v>413</v>
      </c>
      <c r="C570" s="19" t="s">
        <v>325</v>
      </c>
      <c r="D570" s="12">
        <v>1.0</v>
      </c>
      <c r="E570" s="16">
        <v>2000.0</v>
      </c>
      <c r="F570" s="8" t="s">
        <v>10</v>
      </c>
      <c r="G570" s="9">
        <v>45542.0</v>
      </c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3">
        <v>45448.0</v>
      </c>
      <c r="B571" s="19" t="s">
        <v>414</v>
      </c>
      <c r="C571" s="19" t="s">
        <v>126</v>
      </c>
      <c r="D571" s="12">
        <v>2.0</v>
      </c>
      <c r="E571" s="16">
        <v>3500.0</v>
      </c>
      <c r="F571" s="8" t="s">
        <v>10</v>
      </c>
      <c r="G571" s="9">
        <v>45506.0</v>
      </c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3">
        <v>45448.0</v>
      </c>
      <c r="B572" s="19" t="s">
        <v>415</v>
      </c>
      <c r="C572" s="19" t="s">
        <v>133</v>
      </c>
      <c r="D572" s="12">
        <v>4.0</v>
      </c>
      <c r="E572" s="16">
        <v>4720.0</v>
      </c>
      <c r="F572" s="8" t="s">
        <v>10</v>
      </c>
      <c r="G572" s="9">
        <v>45471.0</v>
      </c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3">
        <v>45449.0</v>
      </c>
      <c r="B573" s="19" t="s">
        <v>416</v>
      </c>
      <c r="C573" s="19" t="s">
        <v>143</v>
      </c>
      <c r="D573" s="12">
        <v>4.0</v>
      </c>
      <c r="E573" s="16">
        <v>5600.0</v>
      </c>
      <c r="F573" s="8" t="s">
        <v>10</v>
      </c>
      <c r="G573" s="9">
        <v>45490.0</v>
      </c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3">
        <v>45450.0</v>
      </c>
      <c r="B574" s="19" t="s">
        <v>417</v>
      </c>
      <c r="C574" s="19" t="s">
        <v>126</v>
      </c>
      <c r="D574" s="12">
        <v>2.0</v>
      </c>
      <c r="E574" s="16">
        <v>1280.0</v>
      </c>
      <c r="F574" s="8" t="s">
        <v>10</v>
      </c>
      <c r="G574" s="9">
        <v>45506.0</v>
      </c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3">
        <v>45450.0</v>
      </c>
      <c r="B575" s="19" t="s">
        <v>418</v>
      </c>
      <c r="C575" s="19" t="s">
        <v>143</v>
      </c>
      <c r="D575" s="12">
        <v>2.0</v>
      </c>
      <c r="E575" s="16">
        <v>2400.0</v>
      </c>
      <c r="F575" s="8" t="s">
        <v>10</v>
      </c>
      <c r="G575" s="9">
        <v>45498.0</v>
      </c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3">
        <v>45450.0</v>
      </c>
      <c r="B576" s="19" t="s">
        <v>418</v>
      </c>
      <c r="C576" s="19" t="s">
        <v>159</v>
      </c>
      <c r="D576" s="12">
        <v>2.0</v>
      </c>
      <c r="E576" s="16">
        <v>2500.0</v>
      </c>
      <c r="F576" s="8" t="s">
        <v>10</v>
      </c>
      <c r="G576" s="9">
        <v>45450.0</v>
      </c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3">
        <v>45450.0</v>
      </c>
      <c r="B577" s="19" t="s">
        <v>416</v>
      </c>
      <c r="C577" s="19" t="s">
        <v>143</v>
      </c>
      <c r="D577" s="12">
        <v>4.0</v>
      </c>
      <c r="E577" s="16">
        <v>5600.0</v>
      </c>
      <c r="F577" s="8" t="s">
        <v>10</v>
      </c>
      <c r="G577" s="9">
        <v>45490.0</v>
      </c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3">
        <v>45453.0</v>
      </c>
      <c r="B578" s="19" t="s">
        <v>419</v>
      </c>
      <c r="C578" s="19" t="s">
        <v>128</v>
      </c>
      <c r="D578" s="12">
        <v>1.0</v>
      </c>
      <c r="E578" s="16">
        <v>632.0</v>
      </c>
      <c r="F578" s="8" t="s">
        <v>10</v>
      </c>
      <c r="G578" s="9">
        <v>45453.0</v>
      </c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3">
        <v>45453.0</v>
      </c>
      <c r="B579" s="19" t="s">
        <v>420</v>
      </c>
      <c r="C579" s="19" t="s">
        <v>126</v>
      </c>
      <c r="D579" s="12">
        <v>1.0</v>
      </c>
      <c r="E579" s="16">
        <v>1750.0</v>
      </c>
      <c r="F579" s="8" t="s">
        <v>10</v>
      </c>
      <c r="G579" s="9">
        <v>45506.0</v>
      </c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3">
        <v>45453.0</v>
      </c>
      <c r="B580" s="19" t="s">
        <v>421</v>
      </c>
      <c r="C580" s="19" t="s">
        <v>126</v>
      </c>
      <c r="D580" s="12">
        <v>2.0</v>
      </c>
      <c r="E580" s="16">
        <v>1920.0</v>
      </c>
      <c r="F580" s="8" t="s">
        <v>10</v>
      </c>
      <c r="G580" s="9">
        <v>45506.0</v>
      </c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3">
        <v>45453.0</v>
      </c>
      <c r="B581" s="19" t="s">
        <v>422</v>
      </c>
      <c r="C581" s="19" t="s">
        <v>154</v>
      </c>
      <c r="D581" s="12">
        <v>4.0</v>
      </c>
      <c r="E581" s="16">
        <v>4183.0</v>
      </c>
      <c r="F581" s="8" t="s">
        <v>10</v>
      </c>
      <c r="G581" s="9">
        <v>45453.0</v>
      </c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3">
        <v>45453.0</v>
      </c>
      <c r="B582" s="19" t="s">
        <v>416</v>
      </c>
      <c r="C582" s="19" t="s">
        <v>143</v>
      </c>
      <c r="D582" s="12">
        <v>4.0</v>
      </c>
      <c r="E582" s="16">
        <v>5600.0</v>
      </c>
      <c r="F582" s="8" t="s">
        <v>10</v>
      </c>
      <c r="G582" s="9">
        <v>45455.0</v>
      </c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3">
        <v>45454.0</v>
      </c>
      <c r="B583" s="19" t="s">
        <v>423</v>
      </c>
      <c r="C583" s="19" t="s">
        <v>128</v>
      </c>
      <c r="D583" s="12">
        <v>2.0</v>
      </c>
      <c r="E583" s="16">
        <v>1870.0</v>
      </c>
      <c r="F583" s="8" t="s">
        <v>10</v>
      </c>
      <c r="G583" s="9">
        <v>45454.0</v>
      </c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3">
        <v>45455.0</v>
      </c>
      <c r="B584" s="19" t="s">
        <v>155</v>
      </c>
      <c r="C584" s="19" t="s">
        <v>156</v>
      </c>
      <c r="D584" s="12">
        <v>2.0</v>
      </c>
      <c r="E584" s="16">
        <v>1203.0</v>
      </c>
      <c r="F584" s="8" t="s">
        <v>10</v>
      </c>
      <c r="G584" s="9">
        <v>45456.0</v>
      </c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3">
        <v>45455.0</v>
      </c>
      <c r="B585" s="19" t="s">
        <v>424</v>
      </c>
      <c r="C585" s="19" t="s">
        <v>325</v>
      </c>
      <c r="D585" s="12">
        <v>1.0</v>
      </c>
      <c r="E585" s="16">
        <v>1800.0</v>
      </c>
      <c r="F585" s="8" t="s">
        <v>10</v>
      </c>
      <c r="G585" s="9">
        <v>45542.0</v>
      </c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3">
        <v>45455.0</v>
      </c>
      <c r="B586" s="19" t="s">
        <v>425</v>
      </c>
      <c r="C586" s="19" t="s">
        <v>138</v>
      </c>
      <c r="D586" s="12">
        <v>2.0</v>
      </c>
      <c r="E586" s="16">
        <v>3100.0</v>
      </c>
      <c r="F586" s="8" t="s">
        <v>10</v>
      </c>
      <c r="G586" s="9">
        <v>45455.0</v>
      </c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3">
        <v>45455.0</v>
      </c>
      <c r="B587" s="19" t="s">
        <v>426</v>
      </c>
      <c r="C587" s="19" t="s">
        <v>133</v>
      </c>
      <c r="D587" s="12">
        <v>4.0</v>
      </c>
      <c r="E587" s="16">
        <v>5680.0</v>
      </c>
      <c r="F587" s="8" t="s">
        <v>10</v>
      </c>
      <c r="G587" s="9">
        <v>45471.0</v>
      </c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3">
        <v>45456.0</v>
      </c>
      <c r="B588" s="19" t="s">
        <v>427</v>
      </c>
      <c r="C588" s="19" t="s">
        <v>143</v>
      </c>
      <c r="D588" s="12">
        <v>2.0</v>
      </c>
      <c r="E588" s="16">
        <v>2200.0</v>
      </c>
      <c r="F588" s="8" t="s">
        <v>10</v>
      </c>
      <c r="G588" s="9">
        <v>45498.0</v>
      </c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3">
        <v>45456.0</v>
      </c>
      <c r="B589" s="19" t="s">
        <v>31</v>
      </c>
      <c r="C589" s="19" t="s">
        <v>133</v>
      </c>
      <c r="D589" s="12">
        <v>2.0</v>
      </c>
      <c r="E589" s="16">
        <v>2360.0</v>
      </c>
      <c r="F589" s="8" t="s">
        <v>10</v>
      </c>
      <c r="G589" s="9">
        <v>45457.0</v>
      </c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3">
        <v>45456.0</v>
      </c>
      <c r="B590" s="19" t="s">
        <v>428</v>
      </c>
      <c r="C590" s="19" t="s">
        <v>128</v>
      </c>
      <c r="D590" s="12">
        <v>4.0</v>
      </c>
      <c r="E590" s="16">
        <v>3739.0</v>
      </c>
      <c r="F590" s="8" t="s">
        <v>10</v>
      </c>
      <c r="G590" s="9">
        <v>45456.0</v>
      </c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3">
        <v>45457.0</v>
      </c>
      <c r="B591" s="19" t="s">
        <v>388</v>
      </c>
      <c r="C591" s="19" t="s">
        <v>128</v>
      </c>
      <c r="D591" s="12">
        <v>2.0</v>
      </c>
      <c r="E591" s="16">
        <v>1206.0</v>
      </c>
      <c r="F591" s="8" t="s">
        <v>10</v>
      </c>
      <c r="G591" s="9">
        <v>45457.0</v>
      </c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3">
        <v>45457.0</v>
      </c>
      <c r="B592" s="19" t="s">
        <v>419</v>
      </c>
      <c r="C592" s="19" t="s">
        <v>128</v>
      </c>
      <c r="D592" s="12">
        <v>2.0</v>
      </c>
      <c r="E592" s="16">
        <v>1254.0</v>
      </c>
      <c r="F592" s="8" t="s">
        <v>10</v>
      </c>
      <c r="G592" s="9">
        <v>45457.0</v>
      </c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3">
        <v>45457.0</v>
      </c>
      <c r="B593" s="19" t="s">
        <v>217</v>
      </c>
      <c r="C593" s="19" t="s">
        <v>83</v>
      </c>
      <c r="D593" s="12">
        <v>1.0</v>
      </c>
      <c r="E593" s="16">
        <v>1480.0</v>
      </c>
      <c r="F593" s="8" t="s">
        <v>10</v>
      </c>
      <c r="G593" s="9">
        <v>45457.0</v>
      </c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3">
        <v>45457.0</v>
      </c>
      <c r="B594" s="19" t="s">
        <v>429</v>
      </c>
      <c r="C594" s="19" t="s">
        <v>154</v>
      </c>
      <c r="D594" s="12">
        <v>1.0</v>
      </c>
      <c r="E594" s="16">
        <v>1716.0</v>
      </c>
      <c r="F594" s="8" t="s">
        <v>10</v>
      </c>
      <c r="G594" s="9">
        <v>45457.0</v>
      </c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3">
        <v>45458.0</v>
      </c>
      <c r="B595" s="19" t="s">
        <v>32</v>
      </c>
      <c r="C595" s="19" t="s">
        <v>154</v>
      </c>
      <c r="D595" s="12">
        <v>1.0</v>
      </c>
      <c r="E595" s="16">
        <v>700.0</v>
      </c>
      <c r="F595" s="8" t="s">
        <v>10</v>
      </c>
      <c r="G595" s="9">
        <v>45458.0</v>
      </c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3">
        <v>45462.0</v>
      </c>
      <c r="B596" s="19" t="s">
        <v>100</v>
      </c>
      <c r="C596" s="19" t="s">
        <v>133</v>
      </c>
      <c r="D596" s="12">
        <v>2.0</v>
      </c>
      <c r="E596" s="16">
        <v>1620.0</v>
      </c>
      <c r="F596" s="8" t="s">
        <v>10</v>
      </c>
      <c r="G596" s="9">
        <v>45476.0</v>
      </c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3">
        <v>45462.0</v>
      </c>
      <c r="B597" s="19" t="s">
        <v>430</v>
      </c>
      <c r="C597" s="19" t="s">
        <v>133</v>
      </c>
      <c r="D597" s="12">
        <v>4.0</v>
      </c>
      <c r="E597" s="16">
        <v>2600.0</v>
      </c>
      <c r="F597" s="8" t="s">
        <v>10</v>
      </c>
      <c r="G597" s="9">
        <v>45462.0</v>
      </c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3">
        <v>45462.0</v>
      </c>
      <c r="B598" s="19" t="s">
        <v>27</v>
      </c>
      <c r="C598" s="19" t="s">
        <v>126</v>
      </c>
      <c r="D598" s="12">
        <v>2.0</v>
      </c>
      <c r="E598" s="16">
        <v>2800.0</v>
      </c>
      <c r="F598" s="8" t="s">
        <v>10</v>
      </c>
      <c r="G598" s="9">
        <v>45531.0</v>
      </c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3">
        <v>45462.0</v>
      </c>
      <c r="B599" s="19" t="s">
        <v>431</v>
      </c>
      <c r="C599" s="19" t="s">
        <v>126</v>
      </c>
      <c r="D599" s="12">
        <v>4.0</v>
      </c>
      <c r="E599" s="16">
        <v>3720.0</v>
      </c>
      <c r="F599" s="8" t="s">
        <v>10</v>
      </c>
      <c r="G599" s="9">
        <v>45531.0</v>
      </c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3">
        <v>45463.0</v>
      </c>
      <c r="B600" s="19" t="s">
        <v>387</v>
      </c>
      <c r="C600" s="19" t="s">
        <v>133</v>
      </c>
      <c r="D600" s="12">
        <v>1.0</v>
      </c>
      <c r="E600" s="16">
        <v>1550.0</v>
      </c>
      <c r="F600" s="8" t="s">
        <v>10</v>
      </c>
      <c r="G600" s="9">
        <v>45476.0</v>
      </c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3">
        <v>45464.0</v>
      </c>
      <c r="B601" s="19" t="s">
        <v>157</v>
      </c>
      <c r="C601" s="19" t="s">
        <v>154</v>
      </c>
      <c r="D601" s="12">
        <v>1.0</v>
      </c>
      <c r="E601" s="16">
        <v>1475.0</v>
      </c>
      <c r="F601" s="8" t="s">
        <v>10</v>
      </c>
      <c r="G601" s="9">
        <v>45464.0</v>
      </c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3">
        <v>45465.0</v>
      </c>
      <c r="B602" s="19" t="s">
        <v>432</v>
      </c>
      <c r="C602" s="19" t="s">
        <v>154</v>
      </c>
      <c r="D602" s="12">
        <v>1.0</v>
      </c>
      <c r="E602" s="16">
        <v>996.0</v>
      </c>
      <c r="F602" s="8" t="s">
        <v>10</v>
      </c>
      <c r="G602" s="9">
        <v>45465.0</v>
      </c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3">
        <v>45465.0</v>
      </c>
      <c r="B603" s="19" t="s">
        <v>303</v>
      </c>
      <c r="C603" s="19" t="s">
        <v>159</v>
      </c>
      <c r="D603" s="12">
        <v>2.0</v>
      </c>
      <c r="E603" s="16">
        <v>1900.0</v>
      </c>
      <c r="F603" s="8" t="s">
        <v>10</v>
      </c>
      <c r="G603" s="9">
        <v>45470.0</v>
      </c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3">
        <v>45465.0</v>
      </c>
      <c r="B604" s="19" t="s">
        <v>433</v>
      </c>
      <c r="C604" s="19" t="s">
        <v>126</v>
      </c>
      <c r="D604" s="12">
        <v>2.0</v>
      </c>
      <c r="E604" s="16">
        <v>2540.0</v>
      </c>
      <c r="F604" s="8" t="s">
        <v>10</v>
      </c>
      <c r="G604" s="9">
        <v>45531.0</v>
      </c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3">
        <v>45465.0</v>
      </c>
      <c r="B605" s="19" t="s">
        <v>182</v>
      </c>
      <c r="C605" s="19" t="s">
        <v>83</v>
      </c>
      <c r="D605" s="12">
        <v>2.0</v>
      </c>
      <c r="E605" s="16">
        <v>3400.0</v>
      </c>
      <c r="F605" s="25" t="s">
        <v>10</v>
      </c>
      <c r="G605" s="26">
        <v>45657.0</v>
      </c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3">
        <v>45467.0</v>
      </c>
      <c r="B606" s="19" t="s">
        <v>434</v>
      </c>
      <c r="C606" s="19" t="s">
        <v>143</v>
      </c>
      <c r="D606" s="12">
        <v>2.0</v>
      </c>
      <c r="E606" s="16">
        <v>1600.0</v>
      </c>
      <c r="F606" s="8" t="s">
        <v>10</v>
      </c>
      <c r="G606" s="9">
        <v>45498.0</v>
      </c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3">
        <v>45467.0</v>
      </c>
      <c r="B607" s="19" t="s">
        <v>165</v>
      </c>
      <c r="C607" s="19" t="s">
        <v>143</v>
      </c>
      <c r="D607" s="12">
        <v>2.0</v>
      </c>
      <c r="E607" s="16">
        <v>1960.0</v>
      </c>
      <c r="F607" s="8" t="s">
        <v>10</v>
      </c>
      <c r="G607" s="9">
        <v>45498.0</v>
      </c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3">
        <v>45467.0</v>
      </c>
      <c r="B608" s="19" t="s">
        <v>361</v>
      </c>
      <c r="C608" s="19" t="s">
        <v>138</v>
      </c>
      <c r="D608" s="12">
        <v>2.0</v>
      </c>
      <c r="E608" s="16">
        <v>2160.0</v>
      </c>
      <c r="F608" s="8" t="s">
        <v>10</v>
      </c>
      <c r="G608" s="9">
        <v>45483.0</v>
      </c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3">
        <v>45467.0</v>
      </c>
      <c r="B609" s="19" t="s">
        <v>360</v>
      </c>
      <c r="C609" s="19" t="s">
        <v>128</v>
      </c>
      <c r="D609" s="12">
        <v>1.0</v>
      </c>
      <c r="E609" s="16">
        <v>2257.0</v>
      </c>
      <c r="F609" s="8" t="s">
        <v>10</v>
      </c>
      <c r="G609" s="9">
        <v>45467.0</v>
      </c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3">
        <v>45467.0</v>
      </c>
      <c r="B610" s="19" t="s">
        <v>435</v>
      </c>
      <c r="C610" s="19" t="s">
        <v>325</v>
      </c>
      <c r="D610" s="12">
        <v>3.0</v>
      </c>
      <c r="E610" s="16">
        <v>7800.0</v>
      </c>
      <c r="F610" s="8" t="s">
        <v>10</v>
      </c>
      <c r="G610" s="9">
        <v>45542.0</v>
      </c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3">
        <v>45468.0</v>
      </c>
      <c r="B611" s="19" t="s">
        <v>127</v>
      </c>
      <c r="C611" s="19" t="s">
        <v>128</v>
      </c>
      <c r="D611" s="12">
        <v>1.0</v>
      </c>
      <c r="E611" s="16">
        <v>1167.0</v>
      </c>
      <c r="F611" s="8" t="s">
        <v>10</v>
      </c>
      <c r="G611" s="9">
        <v>45469.0</v>
      </c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3">
        <v>45468.0</v>
      </c>
      <c r="B612" s="19" t="s">
        <v>436</v>
      </c>
      <c r="C612" s="19" t="s">
        <v>138</v>
      </c>
      <c r="D612" s="12">
        <v>1.0</v>
      </c>
      <c r="E612" s="16">
        <v>1330.0</v>
      </c>
      <c r="F612" s="8" t="s">
        <v>10</v>
      </c>
      <c r="G612" s="9">
        <v>45468.0</v>
      </c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3">
        <v>45468.0</v>
      </c>
      <c r="B613" s="19" t="s">
        <v>437</v>
      </c>
      <c r="C613" s="19" t="s">
        <v>138</v>
      </c>
      <c r="D613" s="12">
        <v>2.0</v>
      </c>
      <c r="E613" s="16">
        <v>2050.0</v>
      </c>
      <c r="F613" s="8" t="s">
        <v>10</v>
      </c>
      <c r="G613" s="9">
        <v>45468.0</v>
      </c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3">
        <v>45468.0</v>
      </c>
      <c r="B614" s="19" t="s">
        <v>438</v>
      </c>
      <c r="C614" s="19" t="s">
        <v>126</v>
      </c>
      <c r="D614" s="12">
        <v>4.0</v>
      </c>
      <c r="E614" s="24">
        <v>6800.0</v>
      </c>
      <c r="F614" s="8" t="s">
        <v>10</v>
      </c>
      <c r="G614" s="9">
        <v>45546.0</v>
      </c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3">
        <v>45469.0</v>
      </c>
      <c r="B615" s="19" t="s">
        <v>439</v>
      </c>
      <c r="C615" s="19" t="s">
        <v>156</v>
      </c>
      <c r="D615" s="12">
        <v>2.0</v>
      </c>
      <c r="E615" s="16">
        <v>1475.0</v>
      </c>
      <c r="F615" s="8" t="s">
        <v>10</v>
      </c>
      <c r="G615" s="9">
        <v>45470.0</v>
      </c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3">
        <v>45469.0</v>
      </c>
      <c r="B616" s="19" t="s">
        <v>294</v>
      </c>
      <c r="C616" s="19" t="s">
        <v>133</v>
      </c>
      <c r="D616" s="12">
        <v>2.0</v>
      </c>
      <c r="E616" s="16">
        <v>1780.0</v>
      </c>
      <c r="F616" s="8" t="s">
        <v>10</v>
      </c>
      <c r="G616" s="9">
        <v>45490.0</v>
      </c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3">
        <v>45469.0</v>
      </c>
      <c r="B617" s="19" t="s">
        <v>440</v>
      </c>
      <c r="C617" s="19" t="s">
        <v>154</v>
      </c>
      <c r="D617" s="12">
        <v>1.0</v>
      </c>
      <c r="E617" s="16">
        <v>2360.0</v>
      </c>
      <c r="F617" s="8" t="s">
        <v>10</v>
      </c>
      <c r="G617" s="9">
        <v>45469.0</v>
      </c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3">
        <v>45469.0</v>
      </c>
      <c r="B618" s="19" t="s">
        <v>441</v>
      </c>
      <c r="C618" s="19" t="s">
        <v>154</v>
      </c>
      <c r="D618" s="12">
        <v>1.0</v>
      </c>
      <c r="E618" s="16">
        <v>2494.0</v>
      </c>
      <c r="F618" s="8" t="s">
        <v>10</v>
      </c>
      <c r="G618" s="9">
        <v>45469.0</v>
      </c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3">
        <v>45469.0</v>
      </c>
      <c r="B619" s="19" t="s">
        <v>442</v>
      </c>
      <c r="C619" s="19" t="s">
        <v>443</v>
      </c>
      <c r="D619" s="12">
        <v>2.0</v>
      </c>
      <c r="E619" s="16">
        <v>2500.0</v>
      </c>
      <c r="F619" s="8" t="s">
        <v>10</v>
      </c>
      <c r="G619" s="9">
        <v>45470.0</v>
      </c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3">
        <v>45469.0</v>
      </c>
      <c r="B620" s="19" t="s">
        <v>444</v>
      </c>
      <c r="C620" s="19" t="s">
        <v>128</v>
      </c>
      <c r="D620" s="12">
        <v>2.0</v>
      </c>
      <c r="E620" s="16">
        <v>3662.0</v>
      </c>
      <c r="F620" s="8" t="s">
        <v>10</v>
      </c>
      <c r="G620" s="9">
        <v>45469.0</v>
      </c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3">
        <v>45469.0</v>
      </c>
      <c r="B621" s="19" t="s">
        <v>445</v>
      </c>
      <c r="C621" s="19" t="s">
        <v>143</v>
      </c>
      <c r="D621" s="12">
        <v>2.0</v>
      </c>
      <c r="E621" s="16">
        <v>3800.0</v>
      </c>
      <c r="F621" s="8" t="s">
        <v>10</v>
      </c>
      <c r="G621" s="9">
        <v>45474.0</v>
      </c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3">
        <v>45469.0</v>
      </c>
      <c r="B622" s="19" t="s">
        <v>446</v>
      </c>
      <c r="C622" s="19" t="s">
        <v>156</v>
      </c>
      <c r="D622" s="12">
        <v>4.0</v>
      </c>
      <c r="E622" s="16">
        <v>3880.0</v>
      </c>
      <c r="F622" s="8" t="s">
        <v>10</v>
      </c>
      <c r="G622" s="9">
        <v>45470.0</v>
      </c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3">
        <v>45470.0</v>
      </c>
      <c r="B623" s="19" t="s">
        <v>160</v>
      </c>
      <c r="C623" s="19" t="s">
        <v>126</v>
      </c>
      <c r="D623" s="12">
        <v>4.0</v>
      </c>
      <c r="E623" s="24">
        <v>5120.0</v>
      </c>
      <c r="F623" s="8" t="s">
        <v>10</v>
      </c>
      <c r="G623" s="9">
        <v>45546.0</v>
      </c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3">
        <v>45471.0</v>
      </c>
      <c r="B624" s="19" t="s">
        <v>447</v>
      </c>
      <c r="C624" s="19" t="s">
        <v>325</v>
      </c>
      <c r="D624" s="12">
        <v>4.0</v>
      </c>
      <c r="E624" s="16">
        <v>1920.0</v>
      </c>
      <c r="F624" s="8" t="s">
        <v>10</v>
      </c>
      <c r="G624" s="9">
        <v>45542.0</v>
      </c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3">
        <v>45471.0</v>
      </c>
      <c r="B625" s="19" t="s">
        <v>208</v>
      </c>
      <c r="C625" s="19" t="s">
        <v>126</v>
      </c>
      <c r="D625" s="12">
        <v>2.0</v>
      </c>
      <c r="E625" s="24">
        <v>2900.0</v>
      </c>
      <c r="F625" s="8" t="s">
        <v>10</v>
      </c>
      <c r="G625" s="9">
        <v>45546.0</v>
      </c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3">
        <v>45471.0</v>
      </c>
      <c r="B626" s="19" t="s">
        <v>448</v>
      </c>
      <c r="C626" s="19" t="s">
        <v>133</v>
      </c>
      <c r="D626" s="12">
        <v>2.0</v>
      </c>
      <c r="E626" s="16">
        <v>4090.0</v>
      </c>
      <c r="F626" s="8" t="s">
        <v>10</v>
      </c>
      <c r="G626" s="9">
        <v>45490.0</v>
      </c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3">
        <v>45472.0</v>
      </c>
      <c r="B627" s="19" t="s">
        <v>449</v>
      </c>
      <c r="C627" s="19" t="s">
        <v>138</v>
      </c>
      <c r="D627" s="12">
        <v>1.0</v>
      </c>
      <c r="E627" s="16">
        <v>930.0</v>
      </c>
      <c r="F627" s="8" t="s">
        <v>10</v>
      </c>
      <c r="G627" s="9">
        <v>45483.0</v>
      </c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3">
        <v>45472.0</v>
      </c>
      <c r="B628" s="19" t="s">
        <v>301</v>
      </c>
      <c r="C628" s="19" t="s">
        <v>143</v>
      </c>
      <c r="D628" s="12">
        <v>1.0</v>
      </c>
      <c r="E628" s="16">
        <v>1250.0</v>
      </c>
      <c r="F628" s="8" t="s">
        <v>10</v>
      </c>
      <c r="G628" s="9">
        <v>45474.0</v>
      </c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3">
        <v>45472.0</v>
      </c>
      <c r="B629" s="19" t="s">
        <v>296</v>
      </c>
      <c r="C629" s="19" t="s">
        <v>154</v>
      </c>
      <c r="D629" s="12">
        <v>2.0</v>
      </c>
      <c r="E629" s="16">
        <v>2576.0</v>
      </c>
      <c r="F629" s="8" t="s">
        <v>10</v>
      </c>
      <c r="G629" s="9">
        <v>45474.0</v>
      </c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3">
        <v>45472.0</v>
      </c>
      <c r="B630" s="19" t="s">
        <v>450</v>
      </c>
      <c r="C630" s="19" t="s">
        <v>138</v>
      </c>
      <c r="D630" s="12">
        <v>2.0</v>
      </c>
      <c r="E630" s="16">
        <v>2600.0</v>
      </c>
      <c r="F630" s="8" t="s">
        <v>10</v>
      </c>
      <c r="G630" s="9">
        <v>45472.0</v>
      </c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3">
        <v>45472.0</v>
      </c>
      <c r="B631" s="19" t="s">
        <v>402</v>
      </c>
      <c r="C631" s="19" t="s">
        <v>133</v>
      </c>
      <c r="D631" s="12">
        <v>2.0</v>
      </c>
      <c r="E631" s="16">
        <v>2850.0</v>
      </c>
      <c r="F631" s="8" t="s">
        <v>10</v>
      </c>
      <c r="G631" s="9">
        <v>45474.0</v>
      </c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3">
        <v>45472.0</v>
      </c>
      <c r="B632" s="19" t="s">
        <v>439</v>
      </c>
      <c r="C632" s="19" t="s">
        <v>156</v>
      </c>
      <c r="D632" s="12">
        <v>4.0</v>
      </c>
      <c r="E632" s="16">
        <v>2950.0</v>
      </c>
      <c r="F632" s="8" t="s">
        <v>10</v>
      </c>
      <c r="G632" s="9">
        <v>45474.0</v>
      </c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3">
        <v>45472.0</v>
      </c>
      <c r="B633" s="19" t="s">
        <v>237</v>
      </c>
      <c r="C633" s="19" t="s">
        <v>136</v>
      </c>
      <c r="D633" s="12">
        <v>4.0</v>
      </c>
      <c r="E633" s="16">
        <v>3320.0</v>
      </c>
      <c r="F633" s="8" t="s">
        <v>10</v>
      </c>
      <c r="G633" s="9">
        <v>45474.0</v>
      </c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3">
        <v>45472.0</v>
      </c>
      <c r="B634" s="19" t="s">
        <v>451</v>
      </c>
      <c r="C634" s="19" t="s">
        <v>154</v>
      </c>
      <c r="D634" s="12">
        <v>2.0</v>
      </c>
      <c r="E634" s="16">
        <v>4934.08</v>
      </c>
      <c r="F634" s="8" t="s">
        <v>10</v>
      </c>
      <c r="G634" s="9">
        <v>45472.0</v>
      </c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3">
        <v>45472.0</v>
      </c>
      <c r="B635" s="19" t="s">
        <v>452</v>
      </c>
      <c r="C635" s="19" t="s">
        <v>154</v>
      </c>
      <c r="D635" s="12">
        <v>2.0</v>
      </c>
      <c r="E635" s="16">
        <v>4950.0</v>
      </c>
      <c r="F635" s="8" t="s">
        <v>10</v>
      </c>
      <c r="G635" s="9">
        <v>45472.0</v>
      </c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3">
        <v>45474.0</v>
      </c>
      <c r="B636" s="19" t="s">
        <v>13</v>
      </c>
      <c r="C636" s="19" t="s">
        <v>143</v>
      </c>
      <c r="D636" s="12">
        <v>1.0</v>
      </c>
      <c r="E636" s="16">
        <v>1400.0</v>
      </c>
      <c r="F636" s="8" t="s">
        <v>10</v>
      </c>
      <c r="G636" s="9">
        <v>45514.0</v>
      </c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3">
        <v>45474.0</v>
      </c>
      <c r="B637" s="19" t="s">
        <v>453</v>
      </c>
      <c r="C637" s="19" t="s">
        <v>154</v>
      </c>
      <c r="D637" s="12">
        <v>1.0</v>
      </c>
      <c r="E637" s="16">
        <v>2494.0</v>
      </c>
      <c r="F637" s="8" t="s">
        <v>10</v>
      </c>
      <c r="G637" s="9">
        <v>45474.0</v>
      </c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3">
        <v>45474.0</v>
      </c>
      <c r="B638" s="19" t="s">
        <v>454</v>
      </c>
      <c r="C638" s="19" t="s">
        <v>143</v>
      </c>
      <c r="D638" s="12">
        <v>1.0</v>
      </c>
      <c r="E638" s="16">
        <v>2800.0</v>
      </c>
      <c r="F638" s="8" t="s">
        <v>10</v>
      </c>
      <c r="G638" s="9">
        <v>45514.0</v>
      </c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3">
        <v>45474.0</v>
      </c>
      <c r="B639" s="19" t="s">
        <v>455</v>
      </c>
      <c r="C639" s="19" t="s">
        <v>133</v>
      </c>
      <c r="D639" s="12">
        <v>4.0</v>
      </c>
      <c r="E639" s="16">
        <f>1380*4</f>
        <v>5520</v>
      </c>
      <c r="F639" s="8" t="s">
        <v>10</v>
      </c>
      <c r="G639" s="9">
        <v>45499.0</v>
      </c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3">
        <v>45475.0</v>
      </c>
      <c r="B640" s="19" t="s">
        <v>456</v>
      </c>
      <c r="C640" s="19" t="s">
        <v>83</v>
      </c>
      <c r="D640" s="12">
        <v>1.0</v>
      </c>
      <c r="E640" s="16">
        <v>900.0</v>
      </c>
      <c r="F640" s="8" t="s">
        <v>10</v>
      </c>
      <c r="G640" s="9">
        <v>45475.0</v>
      </c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3">
        <v>45476.0</v>
      </c>
      <c r="B641" s="19" t="s">
        <v>457</v>
      </c>
      <c r="C641" s="19" t="s">
        <v>9</v>
      </c>
      <c r="D641" s="12">
        <v>1.0</v>
      </c>
      <c r="E641" s="16">
        <v>1500.0</v>
      </c>
      <c r="F641" s="8" t="s">
        <v>10</v>
      </c>
      <c r="G641" s="9">
        <v>45476.0</v>
      </c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3">
        <v>45476.0</v>
      </c>
      <c r="B642" s="19" t="s">
        <v>458</v>
      </c>
      <c r="C642" s="19" t="s">
        <v>154</v>
      </c>
      <c r="D642" s="12">
        <v>2.0</v>
      </c>
      <c r="E642" s="16">
        <v>2200.0</v>
      </c>
      <c r="F642" s="8" t="s">
        <v>10</v>
      </c>
      <c r="G642" s="9">
        <v>45476.0</v>
      </c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3">
        <v>45476.0</v>
      </c>
      <c r="B643" s="19" t="s">
        <v>459</v>
      </c>
      <c r="C643" s="19" t="s">
        <v>154</v>
      </c>
      <c r="D643" s="12">
        <v>2.0</v>
      </c>
      <c r="E643" s="16">
        <v>3862.0</v>
      </c>
      <c r="F643" s="8" t="s">
        <v>10</v>
      </c>
      <c r="G643" s="9">
        <v>45476.0</v>
      </c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3">
        <v>45476.0</v>
      </c>
      <c r="B644" s="19" t="s">
        <v>460</v>
      </c>
      <c r="C644" s="19" t="s">
        <v>154</v>
      </c>
      <c r="D644" s="12">
        <v>2.0</v>
      </c>
      <c r="E644" s="16">
        <v>4988.0</v>
      </c>
      <c r="F644" s="8" t="s">
        <v>10</v>
      </c>
      <c r="G644" s="9">
        <v>45476.0</v>
      </c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3">
        <v>45477.0</v>
      </c>
      <c r="B645" s="19" t="s">
        <v>461</v>
      </c>
      <c r="C645" s="19" t="s">
        <v>154</v>
      </c>
      <c r="D645" s="12">
        <v>1.0</v>
      </c>
      <c r="E645" s="16">
        <v>1100.0</v>
      </c>
      <c r="F645" s="8" t="s">
        <v>10</v>
      </c>
      <c r="G645" s="9">
        <v>45477.0</v>
      </c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3">
        <v>45478.0</v>
      </c>
      <c r="B646" s="19" t="s">
        <v>462</v>
      </c>
      <c r="C646" s="19" t="s">
        <v>133</v>
      </c>
      <c r="D646" s="12">
        <v>2.0</v>
      </c>
      <c r="E646" s="16">
        <v>2152.0</v>
      </c>
      <c r="F646" s="8" t="s">
        <v>10</v>
      </c>
      <c r="G646" s="9">
        <v>45478.0</v>
      </c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3">
        <v>45479.0</v>
      </c>
      <c r="B647" s="19" t="s">
        <v>463</v>
      </c>
      <c r="C647" s="19" t="s">
        <v>133</v>
      </c>
      <c r="D647" s="12">
        <v>2.0</v>
      </c>
      <c r="E647" s="16">
        <v>2356.0</v>
      </c>
      <c r="F647" s="8" t="s">
        <v>10</v>
      </c>
      <c r="G647" s="9">
        <v>45499.0</v>
      </c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3">
        <v>45479.0</v>
      </c>
      <c r="B648" s="19" t="s">
        <v>464</v>
      </c>
      <c r="C648" s="19" t="s">
        <v>128</v>
      </c>
      <c r="D648" s="12">
        <v>4.0</v>
      </c>
      <c r="E648" s="16">
        <v>3732.0</v>
      </c>
      <c r="F648" s="8" t="s">
        <v>10</v>
      </c>
      <c r="G648" s="9">
        <v>45479.0</v>
      </c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3">
        <v>45481.0</v>
      </c>
      <c r="B649" s="19" t="s">
        <v>465</v>
      </c>
      <c r="C649" s="19" t="s">
        <v>143</v>
      </c>
      <c r="D649" s="12">
        <v>1.0</v>
      </c>
      <c r="E649" s="16">
        <v>1050.0</v>
      </c>
      <c r="F649" s="8" t="s">
        <v>10</v>
      </c>
      <c r="G649" s="9">
        <v>45506.0</v>
      </c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3">
        <v>45481.0</v>
      </c>
      <c r="B650" s="19" t="s">
        <v>466</v>
      </c>
      <c r="C650" s="19" t="s">
        <v>9</v>
      </c>
      <c r="D650" s="12">
        <v>1.0</v>
      </c>
      <c r="E650" s="16">
        <v>1750.0</v>
      </c>
      <c r="F650" s="8" t="s">
        <v>10</v>
      </c>
      <c r="G650" s="9">
        <v>45481.0</v>
      </c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3">
        <v>45481.0</v>
      </c>
      <c r="B651" s="19" t="s">
        <v>467</v>
      </c>
      <c r="C651" s="19" t="s">
        <v>143</v>
      </c>
      <c r="D651" s="12">
        <v>2.0</v>
      </c>
      <c r="E651" s="16">
        <v>2400.0</v>
      </c>
      <c r="F651" s="8" t="s">
        <v>10</v>
      </c>
      <c r="G651" s="9">
        <v>45506.0</v>
      </c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3">
        <v>45481.0</v>
      </c>
      <c r="B652" s="19" t="s">
        <v>467</v>
      </c>
      <c r="C652" s="19" t="s">
        <v>143</v>
      </c>
      <c r="D652" s="12">
        <v>4.0</v>
      </c>
      <c r="E652" s="16">
        <v>4800.0</v>
      </c>
      <c r="F652" s="8" t="s">
        <v>10</v>
      </c>
      <c r="G652" s="9">
        <v>45506.0</v>
      </c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3">
        <v>45481.0</v>
      </c>
      <c r="B653" s="19" t="s">
        <v>468</v>
      </c>
      <c r="C653" s="19" t="s">
        <v>469</v>
      </c>
      <c r="D653" s="12">
        <v>4.0</v>
      </c>
      <c r="E653" s="16">
        <v>6840.0</v>
      </c>
      <c r="F653" s="8" t="s">
        <v>10</v>
      </c>
      <c r="G653" s="9">
        <v>45482.0</v>
      </c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3">
        <v>45482.0</v>
      </c>
      <c r="B654" s="19" t="s">
        <v>470</v>
      </c>
      <c r="C654" s="19" t="s">
        <v>138</v>
      </c>
      <c r="D654" s="12">
        <v>2.0</v>
      </c>
      <c r="E654" s="16">
        <v>1040.0</v>
      </c>
      <c r="F654" s="8" t="s">
        <v>10</v>
      </c>
      <c r="G654" s="9">
        <v>45485.0</v>
      </c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3">
        <v>45482.0</v>
      </c>
      <c r="B655" s="19" t="s">
        <v>471</v>
      </c>
      <c r="C655" s="19" t="s">
        <v>83</v>
      </c>
      <c r="D655" s="12">
        <v>2.0</v>
      </c>
      <c r="E655" s="16">
        <v>3660.0</v>
      </c>
      <c r="F655" s="25" t="s">
        <v>10</v>
      </c>
      <c r="G655" s="26">
        <v>45657.0</v>
      </c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3">
        <v>45482.0</v>
      </c>
      <c r="B656" s="19" t="s">
        <v>472</v>
      </c>
      <c r="C656" s="19" t="s">
        <v>143</v>
      </c>
      <c r="D656" s="12">
        <v>1.0</v>
      </c>
      <c r="E656" s="16">
        <v>3900.0</v>
      </c>
      <c r="F656" s="8" t="s">
        <v>10</v>
      </c>
      <c r="G656" s="9">
        <v>45513.0</v>
      </c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3">
        <v>45483.0</v>
      </c>
      <c r="B657" s="19" t="s">
        <v>300</v>
      </c>
      <c r="C657" s="19" t="s">
        <v>133</v>
      </c>
      <c r="D657" s="12">
        <v>1.0</v>
      </c>
      <c r="E657" s="16">
        <v>750.0</v>
      </c>
      <c r="F657" s="8" t="s">
        <v>10</v>
      </c>
      <c r="G657" s="9">
        <v>45483.0</v>
      </c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3">
        <v>45483.0</v>
      </c>
      <c r="B658" s="19" t="s">
        <v>473</v>
      </c>
      <c r="C658" s="19" t="s">
        <v>83</v>
      </c>
      <c r="D658" s="29">
        <v>2.0</v>
      </c>
      <c r="E658" s="30">
        <v>1700.0</v>
      </c>
      <c r="F658" s="25" t="s">
        <v>10</v>
      </c>
      <c r="G658" s="26">
        <v>45657.0</v>
      </c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3">
        <v>45483.0</v>
      </c>
      <c r="B659" s="19" t="s">
        <v>474</v>
      </c>
      <c r="C659" s="19" t="s">
        <v>138</v>
      </c>
      <c r="D659" s="12">
        <v>2.0</v>
      </c>
      <c r="E659" s="16">
        <v>2100.0</v>
      </c>
      <c r="F659" s="8" t="s">
        <v>10</v>
      </c>
      <c r="G659" s="9">
        <v>45489.0</v>
      </c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3">
        <v>45483.0</v>
      </c>
      <c r="B660" s="19" t="s">
        <v>350</v>
      </c>
      <c r="C660" s="19" t="s">
        <v>159</v>
      </c>
      <c r="D660" s="12">
        <v>2.0</v>
      </c>
      <c r="E660" s="16">
        <v>2700.0</v>
      </c>
      <c r="F660" s="8" t="s">
        <v>10</v>
      </c>
      <c r="G660" s="9">
        <v>45485.0</v>
      </c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3">
        <v>45484.0</v>
      </c>
      <c r="B661" s="19" t="s">
        <v>475</v>
      </c>
      <c r="C661" s="19" t="s">
        <v>138</v>
      </c>
      <c r="D661" s="12">
        <v>2.0</v>
      </c>
      <c r="E661" s="16">
        <v>950.0</v>
      </c>
      <c r="F661" s="8" t="s">
        <v>10</v>
      </c>
      <c r="G661" s="9">
        <v>45489.0</v>
      </c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3">
        <v>45484.0</v>
      </c>
      <c r="B662" s="19" t="s">
        <v>476</v>
      </c>
      <c r="C662" s="19" t="s">
        <v>156</v>
      </c>
      <c r="D662" s="12">
        <v>4.0</v>
      </c>
      <c r="E662" s="16">
        <v>2717.0</v>
      </c>
      <c r="F662" s="8" t="s">
        <v>10</v>
      </c>
      <c r="G662" s="9">
        <v>45484.0</v>
      </c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3">
        <v>45484.0</v>
      </c>
      <c r="B663" s="19" t="s">
        <v>477</v>
      </c>
      <c r="C663" s="19" t="s">
        <v>154</v>
      </c>
      <c r="D663" s="12">
        <v>4.0</v>
      </c>
      <c r="E663" s="16">
        <v>2964.0</v>
      </c>
      <c r="F663" s="8" t="s">
        <v>10</v>
      </c>
      <c r="G663" s="9">
        <v>45484.0</v>
      </c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3">
        <v>45485.0</v>
      </c>
      <c r="B664" s="19" t="s">
        <v>104</v>
      </c>
      <c r="C664" s="19" t="s">
        <v>138</v>
      </c>
      <c r="D664" s="12">
        <v>2.0</v>
      </c>
      <c r="E664" s="16">
        <v>1970.0</v>
      </c>
      <c r="F664" s="8" t="s">
        <v>10</v>
      </c>
      <c r="G664" s="9">
        <v>45489.0</v>
      </c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3">
        <v>45485.0</v>
      </c>
      <c r="B665" s="19" t="s">
        <v>478</v>
      </c>
      <c r="C665" s="19" t="s">
        <v>126</v>
      </c>
      <c r="D665" s="12">
        <v>4.0</v>
      </c>
      <c r="E665" s="31">
        <v>3720.0</v>
      </c>
      <c r="F665" s="8" t="s">
        <v>10</v>
      </c>
      <c r="G665" s="9">
        <v>45559.0</v>
      </c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3">
        <v>45486.0</v>
      </c>
      <c r="B666" s="19" t="s">
        <v>479</v>
      </c>
      <c r="C666" s="19" t="s">
        <v>143</v>
      </c>
      <c r="D666" s="12">
        <v>1.0</v>
      </c>
      <c r="E666" s="16">
        <v>1200.0</v>
      </c>
      <c r="F666" s="8" t="s">
        <v>10</v>
      </c>
      <c r="G666" s="9">
        <v>45513.0</v>
      </c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3">
        <v>45486.0</v>
      </c>
      <c r="B667" s="19" t="s">
        <v>480</v>
      </c>
      <c r="C667" s="19" t="s">
        <v>138</v>
      </c>
      <c r="D667" s="12">
        <v>4.0</v>
      </c>
      <c r="E667" s="16">
        <v>4200.0</v>
      </c>
      <c r="F667" s="8" t="s">
        <v>10</v>
      </c>
      <c r="G667" s="9">
        <v>45497.0</v>
      </c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3">
        <v>45488.0</v>
      </c>
      <c r="B668" s="19" t="s">
        <v>481</v>
      </c>
      <c r="C668" s="19" t="s">
        <v>132</v>
      </c>
      <c r="D668" s="12">
        <v>2.0</v>
      </c>
      <c r="E668" s="16">
        <v>860.0</v>
      </c>
      <c r="F668" s="8" t="s">
        <v>10</v>
      </c>
      <c r="G668" s="9">
        <v>45488.0</v>
      </c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3">
        <v>45488.0</v>
      </c>
      <c r="B669" s="19" t="s">
        <v>482</v>
      </c>
      <c r="C669" s="19" t="s">
        <v>132</v>
      </c>
      <c r="D669" s="12">
        <v>1.0</v>
      </c>
      <c r="E669" s="16">
        <v>1150.0</v>
      </c>
      <c r="F669" s="8" t="s">
        <v>10</v>
      </c>
      <c r="G669" s="9">
        <v>45488.0</v>
      </c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3">
        <v>45489.0</v>
      </c>
      <c r="B670" s="19" t="s">
        <v>483</v>
      </c>
      <c r="C670" s="19" t="s">
        <v>138</v>
      </c>
      <c r="D670" s="12">
        <v>2.0</v>
      </c>
      <c r="E670" s="16">
        <v>930.0</v>
      </c>
      <c r="F670" s="8" t="s">
        <v>10</v>
      </c>
      <c r="G670" s="9">
        <v>45497.0</v>
      </c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3">
        <v>45489.0</v>
      </c>
      <c r="B671" s="19" t="s">
        <v>287</v>
      </c>
      <c r="C671" s="19" t="s">
        <v>138</v>
      </c>
      <c r="D671" s="12">
        <v>2.0</v>
      </c>
      <c r="E671" s="16">
        <v>2560.0</v>
      </c>
      <c r="F671" s="8" t="s">
        <v>10</v>
      </c>
      <c r="G671" s="9">
        <v>45497.0</v>
      </c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3">
        <v>45490.0</v>
      </c>
      <c r="B672" s="19" t="s">
        <v>484</v>
      </c>
      <c r="C672" s="19" t="s">
        <v>138</v>
      </c>
      <c r="D672" s="12">
        <v>2.0</v>
      </c>
      <c r="E672" s="16">
        <v>2050.0</v>
      </c>
      <c r="F672" s="8" t="s">
        <v>10</v>
      </c>
      <c r="G672" s="9">
        <v>45497.0</v>
      </c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3">
        <v>45490.0</v>
      </c>
      <c r="B673" s="19" t="s">
        <v>409</v>
      </c>
      <c r="C673" s="19" t="s">
        <v>133</v>
      </c>
      <c r="D673" s="12">
        <v>2.0</v>
      </c>
      <c r="E673" s="16">
        <v>2560.0</v>
      </c>
      <c r="F673" s="8" t="s">
        <v>10</v>
      </c>
      <c r="G673" s="9">
        <v>45509.0</v>
      </c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3">
        <v>45490.0</v>
      </c>
      <c r="B674" s="19" t="s">
        <v>200</v>
      </c>
      <c r="C674" s="19" t="s">
        <v>218</v>
      </c>
      <c r="D674" s="12">
        <v>4.0</v>
      </c>
      <c r="E674" s="16">
        <v>2601.0</v>
      </c>
      <c r="F674" s="8" t="s">
        <v>10</v>
      </c>
      <c r="G674" s="9" t="s">
        <v>485</v>
      </c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3">
        <v>45490.0</v>
      </c>
      <c r="B675" s="19" t="s">
        <v>486</v>
      </c>
      <c r="C675" s="19" t="s">
        <v>143</v>
      </c>
      <c r="D675" s="12">
        <v>2.0</v>
      </c>
      <c r="E675" s="16">
        <v>3600.0</v>
      </c>
      <c r="F675" s="8" t="s">
        <v>10</v>
      </c>
      <c r="G675" s="9">
        <v>45513.0</v>
      </c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3">
        <v>45490.0</v>
      </c>
      <c r="B676" s="19" t="s">
        <v>22</v>
      </c>
      <c r="C676" s="19" t="s">
        <v>143</v>
      </c>
      <c r="D676" s="12">
        <v>4.0</v>
      </c>
      <c r="E676" s="16">
        <v>4800.0</v>
      </c>
      <c r="F676" s="8" t="s">
        <v>10</v>
      </c>
      <c r="G676" s="9">
        <v>45513.0</v>
      </c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3">
        <v>45491.0</v>
      </c>
      <c r="B677" s="19" t="s">
        <v>487</v>
      </c>
      <c r="C677" s="19" t="s">
        <v>143</v>
      </c>
      <c r="D677" s="12">
        <v>1.0</v>
      </c>
      <c r="E677" s="16">
        <v>900.0</v>
      </c>
      <c r="F677" s="8" t="s">
        <v>10</v>
      </c>
      <c r="G677" s="9">
        <v>45493.0</v>
      </c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3">
        <v>45491.0</v>
      </c>
      <c r="B678" s="19" t="s">
        <v>488</v>
      </c>
      <c r="C678" s="19" t="s">
        <v>138</v>
      </c>
      <c r="D678" s="12">
        <v>1.0</v>
      </c>
      <c r="E678" s="16">
        <v>1150.0</v>
      </c>
      <c r="F678" s="8" t="s">
        <v>10</v>
      </c>
      <c r="G678" s="9">
        <v>45513.0</v>
      </c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3">
        <v>45491.0</v>
      </c>
      <c r="B679" s="19" t="s">
        <v>419</v>
      </c>
      <c r="C679" s="19" t="s">
        <v>128</v>
      </c>
      <c r="D679" s="12">
        <v>2.0</v>
      </c>
      <c r="E679" s="16">
        <v>1265.0</v>
      </c>
      <c r="F679" s="8" t="s">
        <v>10</v>
      </c>
      <c r="G679" s="9">
        <v>45492.0</v>
      </c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3">
        <v>45491.0</v>
      </c>
      <c r="B680" s="19" t="s">
        <v>489</v>
      </c>
      <c r="C680" s="19" t="s">
        <v>143</v>
      </c>
      <c r="D680" s="12">
        <v>1.0</v>
      </c>
      <c r="E680" s="16">
        <v>1700.0</v>
      </c>
      <c r="F680" s="8" t="s">
        <v>10</v>
      </c>
      <c r="G680" s="9">
        <v>45513.0</v>
      </c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3">
        <v>45492.0</v>
      </c>
      <c r="B681" s="19" t="s">
        <v>64</v>
      </c>
      <c r="C681" s="19" t="s">
        <v>138</v>
      </c>
      <c r="D681" s="12">
        <v>4.0</v>
      </c>
      <c r="E681" s="16">
        <v>2460.0</v>
      </c>
      <c r="F681" s="8" t="s">
        <v>10</v>
      </c>
      <c r="G681" s="9">
        <v>45513.0</v>
      </c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3">
        <v>45492.0</v>
      </c>
      <c r="B682" s="19" t="s">
        <v>490</v>
      </c>
      <c r="C682" s="19" t="s">
        <v>83</v>
      </c>
      <c r="D682" s="12">
        <v>2.0</v>
      </c>
      <c r="E682" s="16">
        <v>5400.0</v>
      </c>
      <c r="F682" s="25" t="s">
        <v>10</v>
      </c>
      <c r="G682" s="26">
        <v>45657.0</v>
      </c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3">
        <v>45493.0</v>
      </c>
      <c r="B683" s="19" t="s">
        <v>491</v>
      </c>
      <c r="C683" s="19" t="s">
        <v>143</v>
      </c>
      <c r="D683" s="12">
        <v>1.0</v>
      </c>
      <c r="E683" s="16">
        <v>1000.0</v>
      </c>
      <c r="F683" s="8" t="s">
        <v>10</v>
      </c>
      <c r="G683" s="9">
        <v>45513.0</v>
      </c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3">
        <v>45493.0</v>
      </c>
      <c r="B684" s="19" t="s">
        <v>437</v>
      </c>
      <c r="C684" s="19" t="s">
        <v>138</v>
      </c>
      <c r="D684" s="12">
        <v>1.0</v>
      </c>
      <c r="E684" s="16">
        <v>1025.0</v>
      </c>
      <c r="F684" s="8" t="s">
        <v>10</v>
      </c>
      <c r="G684" s="9">
        <v>45513.0</v>
      </c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3">
        <v>45495.0</v>
      </c>
      <c r="B685" s="19" t="s">
        <v>370</v>
      </c>
      <c r="C685" s="19" t="s">
        <v>377</v>
      </c>
      <c r="D685" s="12">
        <v>1.0</v>
      </c>
      <c r="E685" s="16">
        <v>1000.0</v>
      </c>
      <c r="F685" s="8" t="s">
        <v>10</v>
      </c>
      <c r="G685" s="9">
        <v>45511.0</v>
      </c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3">
        <v>45495.0</v>
      </c>
      <c r="B686" s="19" t="s">
        <v>387</v>
      </c>
      <c r="C686" s="19" t="s">
        <v>133</v>
      </c>
      <c r="D686" s="12">
        <v>1.0</v>
      </c>
      <c r="E686" s="16">
        <v>1550.0</v>
      </c>
      <c r="F686" s="8" t="s">
        <v>10</v>
      </c>
      <c r="G686" s="9">
        <v>45509.0</v>
      </c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3">
        <v>45495.0</v>
      </c>
      <c r="B687" s="19" t="s">
        <v>492</v>
      </c>
      <c r="C687" s="19" t="s">
        <v>9</v>
      </c>
      <c r="D687" s="12">
        <v>2.0</v>
      </c>
      <c r="E687" s="16">
        <v>2360.0</v>
      </c>
      <c r="F687" s="8" t="s">
        <v>10</v>
      </c>
      <c r="G687" s="9">
        <v>45495.0</v>
      </c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3">
        <v>45495.0</v>
      </c>
      <c r="B688" s="19" t="s">
        <v>197</v>
      </c>
      <c r="C688" s="19" t="s">
        <v>9</v>
      </c>
      <c r="D688" s="12">
        <v>2.0</v>
      </c>
      <c r="E688" s="16">
        <v>2400.0</v>
      </c>
      <c r="F688" s="8" t="s">
        <v>10</v>
      </c>
      <c r="G688" s="9">
        <v>45495.0</v>
      </c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3">
        <v>45495.0</v>
      </c>
      <c r="B689" s="19" t="s">
        <v>493</v>
      </c>
      <c r="C689" s="19" t="s">
        <v>143</v>
      </c>
      <c r="D689" s="12">
        <v>2.0</v>
      </c>
      <c r="E689" s="16">
        <v>2500.0</v>
      </c>
      <c r="F689" s="8" t="s">
        <v>10</v>
      </c>
      <c r="G689" s="9">
        <v>45496.0</v>
      </c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3">
        <v>45495.0</v>
      </c>
      <c r="B690" s="19" t="s">
        <v>494</v>
      </c>
      <c r="C690" s="19" t="s">
        <v>83</v>
      </c>
      <c r="D690" s="12">
        <v>2.0</v>
      </c>
      <c r="E690" s="16">
        <v>5800.0</v>
      </c>
      <c r="F690" s="25" t="s">
        <v>10</v>
      </c>
      <c r="G690" s="26">
        <v>45657.0</v>
      </c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3">
        <v>45496.0</v>
      </c>
      <c r="B691" s="19" t="s">
        <v>495</v>
      </c>
      <c r="C691" s="19" t="s">
        <v>143</v>
      </c>
      <c r="D691" s="12">
        <v>2.0</v>
      </c>
      <c r="E691" s="16">
        <v>1300.0</v>
      </c>
      <c r="F691" s="8" t="s">
        <v>10</v>
      </c>
      <c r="G691" s="9">
        <v>45514.0</v>
      </c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3">
        <v>45496.0</v>
      </c>
      <c r="B692" s="19" t="s">
        <v>496</v>
      </c>
      <c r="C692" s="19" t="s">
        <v>154</v>
      </c>
      <c r="D692" s="12">
        <v>1.0</v>
      </c>
      <c r="E692" s="16">
        <v>2210.0</v>
      </c>
      <c r="F692" s="8" t="s">
        <v>10</v>
      </c>
      <c r="G692" s="9">
        <v>45497.0</v>
      </c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3">
        <v>45498.0</v>
      </c>
      <c r="B693" s="19" t="s">
        <v>497</v>
      </c>
      <c r="C693" s="19" t="s">
        <v>9</v>
      </c>
      <c r="D693" s="12">
        <v>2.0</v>
      </c>
      <c r="E693" s="16">
        <v>1200.0</v>
      </c>
      <c r="F693" s="8" t="s">
        <v>10</v>
      </c>
      <c r="G693" s="9">
        <v>45498.0</v>
      </c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3">
        <v>45498.0</v>
      </c>
      <c r="B694" s="19" t="s">
        <v>64</v>
      </c>
      <c r="C694" s="19" t="s">
        <v>9</v>
      </c>
      <c r="D694" s="12">
        <v>2.0</v>
      </c>
      <c r="E694" s="16">
        <v>1240.0</v>
      </c>
      <c r="F694" s="8" t="s">
        <v>10</v>
      </c>
      <c r="G694" s="9">
        <v>45498.0</v>
      </c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3">
        <v>45498.0</v>
      </c>
      <c r="B695" s="19" t="s">
        <v>273</v>
      </c>
      <c r="C695" s="19" t="s">
        <v>126</v>
      </c>
      <c r="D695" s="12">
        <v>2.0</v>
      </c>
      <c r="E695" s="31">
        <v>1600.0</v>
      </c>
      <c r="F695" s="8" t="s">
        <v>10</v>
      </c>
      <c r="G695" s="9">
        <v>45559.0</v>
      </c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3">
        <v>45498.0</v>
      </c>
      <c r="B696" s="19" t="s">
        <v>498</v>
      </c>
      <c r="C696" s="19" t="s">
        <v>143</v>
      </c>
      <c r="D696" s="12">
        <v>2.0</v>
      </c>
      <c r="E696" s="16">
        <v>2000.0</v>
      </c>
      <c r="F696" s="8" t="s">
        <v>10</v>
      </c>
      <c r="G696" s="9">
        <v>45526.0</v>
      </c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3">
        <v>45498.0</v>
      </c>
      <c r="B697" s="19" t="s">
        <v>499</v>
      </c>
      <c r="C697" s="19" t="s">
        <v>156</v>
      </c>
      <c r="D697" s="12">
        <v>4.0</v>
      </c>
      <c r="E697" s="16">
        <v>2095.0</v>
      </c>
      <c r="F697" s="8" t="s">
        <v>10</v>
      </c>
      <c r="G697" s="9">
        <v>45498.0</v>
      </c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3">
        <v>45498.0</v>
      </c>
      <c r="B698" s="19" t="s">
        <v>78</v>
      </c>
      <c r="C698" s="19" t="s">
        <v>138</v>
      </c>
      <c r="D698" s="12">
        <v>4.0</v>
      </c>
      <c r="E698" s="16">
        <v>3640.0</v>
      </c>
      <c r="F698" s="8" t="s">
        <v>10</v>
      </c>
      <c r="G698" s="9">
        <v>45514.0</v>
      </c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3">
        <v>45498.0</v>
      </c>
      <c r="B699" s="19" t="s">
        <v>500</v>
      </c>
      <c r="C699" s="19" t="s">
        <v>113</v>
      </c>
      <c r="D699" s="12">
        <v>12.0</v>
      </c>
      <c r="E699" s="16">
        <v>7440.0</v>
      </c>
      <c r="F699" s="8" t="s">
        <v>10</v>
      </c>
      <c r="G699" s="9">
        <v>45498.0</v>
      </c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3">
        <v>45499.0</v>
      </c>
      <c r="B700" s="19" t="s">
        <v>501</v>
      </c>
      <c r="C700" s="19" t="s">
        <v>154</v>
      </c>
      <c r="D700" s="12">
        <v>1.0</v>
      </c>
      <c r="E700" s="16">
        <v>1314.0</v>
      </c>
      <c r="F700" s="8" t="s">
        <v>10</v>
      </c>
      <c r="G700" s="9">
        <v>45499.0</v>
      </c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3">
        <v>45499.0</v>
      </c>
      <c r="B701" s="19" t="s">
        <v>502</v>
      </c>
      <c r="C701" s="19" t="s">
        <v>156</v>
      </c>
      <c r="D701" s="12">
        <v>2.0</v>
      </c>
      <c r="E701" s="16">
        <v>2135.0</v>
      </c>
      <c r="F701" s="8" t="s">
        <v>10</v>
      </c>
      <c r="G701" s="9">
        <v>45499.0</v>
      </c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3">
        <v>45499.0</v>
      </c>
      <c r="B702" s="19" t="s">
        <v>35</v>
      </c>
      <c r="C702" s="19" t="s">
        <v>133</v>
      </c>
      <c r="D702" s="12">
        <v>2.0</v>
      </c>
      <c r="E702" s="16">
        <v>2200.0</v>
      </c>
      <c r="F702" s="8" t="s">
        <v>10</v>
      </c>
      <c r="G702" s="9">
        <v>45509.0</v>
      </c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3">
        <v>45499.0</v>
      </c>
      <c r="B703" s="19" t="s">
        <v>503</v>
      </c>
      <c r="C703" s="19" t="s">
        <v>504</v>
      </c>
      <c r="D703" s="12">
        <v>8.0</v>
      </c>
      <c r="E703" s="16">
        <v>5587.0</v>
      </c>
      <c r="F703" s="8" t="s">
        <v>10</v>
      </c>
      <c r="G703" s="9">
        <v>45499.0</v>
      </c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3">
        <v>45500.0</v>
      </c>
      <c r="B704" s="19" t="s">
        <v>505</v>
      </c>
      <c r="C704" s="19" t="s">
        <v>9</v>
      </c>
      <c r="D704" s="12">
        <v>1.0</v>
      </c>
      <c r="E704" s="16">
        <v>780.0</v>
      </c>
      <c r="F704" s="8" t="s">
        <v>10</v>
      </c>
      <c r="G704" s="9">
        <v>45500.0</v>
      </c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3">
        <v>45500.0</v>
      </c>
      <c r="B705" s="19" t="s">
        <v>438</v>
      </c>
      <c r="C705" s="19" t="s">
        <v>156</v>
      </c>
      <c r="D705" s="12">
        <v>1.0</v>
      </c>
      <c r="E705" s="16">
        <v>1950.0</v>
      </c>
      <c r="F705" s="8" t="s">
        <v>10</v>
      </c>
      <c r="G705" s="9">
        <v>45502.0</v>
      </c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3">
        <v>45502.0</v>
      </c>
      <c r="B706" s="19" t="s">
        <v>506</v>
      </c>
      <c r="C706" s="19" t="s">
        <v>83</v>
      </c>
      <c r="D706" s="12">
        <v>1.0</v>
      </c>
      <c r="E706" s="16">
        <v>1800.0</v>
      </c>
      <c r="F706" s="25" t="s">
        <v>10</v>
      </c>
      <c r="G706" s="26">
        <v>45657.0</v>
      </c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3">
        <v>45502.0</v>
      </c>
      <c r="B707" s="19" t="s">
        <v>100</v>
      </c>
      <c r="C707" s="19" t="s">
        <v>133</v>
      </c>
      <c r="D707" s="12">
        <v>4.0</v>
      </c>
      <c r="E707" s="16">
        <v>3040.0</v>
      </c>
      <c r="F707" s="8" t="s">
        <v>10</v>
      </c>
      <c r="G707" s="9">
        <v>45504.0</v>
      </c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3">
        <v>45502.0</v>
      </c>
      <c r="B708" s="19" t="s">
        <v>29</v>
      </c>
      <c r="C708" s="19" t="s">
        <v>143</v>
      </c>
      <c r="D708" s="12">
        <v>4.0</v>
      </c>
      <c r="E708" s="16">
        <v>6400.0</v>
      </c>
      <c r="F708" s="8" t="s">
        <v>10</v>
      </c>
      <c r="G708" s="9">
        <v>45526.0</v>
      </c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3">
        <v>45504.0</v>
      </c>
      <c r="B709" s="19" t="s">
        <v>100</v>
      </c>
      <c r="C709" s="19" t="s">
        <v>133</v>
      </c>
      <c r="D709" s="12">
        <v>2.0</v>
      </c>
      <c r="E709" s="16">
        <v>1520.0</v>
      </c>
      <c r="F709" s="8" t="s">
        <v>10</v>
      </c>
      <c r="G709" s="9">
        <v>45509.0</v>
      </c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3">
        <v>45504.0</v>
      </c>
      <c r="B710" s="19" t="s">
        <v>507</v>
      </c>
      <c r="C710" s="19" t="s">
        <v>143</v>
      </c>
      <c r="D710" s="12">
        <v>2.0</v>
      </c>
      <c r="E710" s="16">
        <v>2000.0</v>
      </c>
      <c r="F710" s="8" t="s">
        <v>10</v>
      </c>
      <c r="G710" s="9">
        <v>45526.0</v>
      </c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3">
        <v>45504.0</v>
      </c>
      <c r="B711" s="19" t="s">
        <v>117</v>
      </c>
      <c r="C711" s="19" t="s">
        <v>138</v>
      </c>
      <c r="D711" s="12">
        <v>4.0</v>
      </c>
      <c r="E711" s="16">
        <v>2120.0</v>
      </c>
      <c r="F711" s="8" t="s">
        <v>10</v>
      </c>
      <c r="G711" s="9">
        <v>45514.0</v>
      </c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3">
        <v>45504.0</v>
      </c>
      <c r="B712" s="19" t="s">
        <v>13</v>
      </c>
      <c r="C712" s="19" t="s">
        <v>9</v>
      </c>
      <c r="D712" s="12">
        <v>2.0</v>
      </c>
      <c r="E712" s="16">
        <v>2760.0</v>
      </c>
      <c r="F712" s="8" t="s">
        <v>10</v>
      </c>
      <c r="G712" s="9">
        <v>45504.0</v>
      </c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3">
        <v>45505.0</v>
      </c>
      <c r="B713" s="19" t="s">
        <v>508</v>
      </c>
      <c r="C713" s="19" t="s">
        <v>83</v>
      </c>
      <c r="D713" s="12">
        <v>1.0</v>
      </c>
      <c r="E713" s="16">
        <v>720.0</v>
      </c>
      <c r="F713" s="25" t="s">
        <v>10</v>
      </c>
      <c r="G713" s="26">
        <v>45769.0</v>
      </c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3">
        <v>45505.0</v>
      </c>
      <c r="B714" s="19" t="s">
        <v>61</v>
      </c>
      <c r="C714" s="19" t="s">
        <v>9</v>
      </c>
      <c r="D714" s="12">
        <v>2.0</v>
      </c>
      <c r="E714" s="16">
        <v>1160.0</v>
      </c>
      <c r="F714" s="8" t="s">
        <v>10</v>
      </c>
      <c r="G714" s="9">
        <v>45505.0</v>
      </c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3">
        <v>45505.0</v>
      </c>
      <c r="B715" s="19" t="s">
        <v>509</v>
      </c>
      <c r="C715" s="19" t="s">
        <v>138</v>
      </c>
      <c r="D715" s="12">
        <v>4.0</v>
      </c>
      <c r="E715" s="16">
        <v>3480.0</v>
      </c>
      <c r="F715" s="8" t="s">
        <v>10</v>
      </c>
      <c r="G715" s="9">
        <v>45541.0</v>
      </c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3">
        <v>45505.0</v>
      </c>
      <c r="B716" s="19" t="s">
        <v>510</v>
      </c>
      <c r="C716" s="19" t="s">
        <v>83</v>
      </c>
      <c r="D716" s="12">
        <v>4.0</v>
      </c>
      <c r="E716" s="16">
        <v>7200.0</v>
      </c>
      <c r="F716" s="25" t="s">
        <v>10</v>
      </c>
      <c r="G716" s="26">
        <v>45769.0</v>
      </c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3">
        <v>45506.0</v>
      </c>
      <c r="B717" s="19" t="s">
        <v>511</v>
      </c>
      <c r="C717" s="19" t="s">
        <v>83</v>
      </c>
      <c r="D717" s="12">
        <v>1.0</v>
      </c>
      <c r="E717" s="16">
        <v>2250.0</v>
      </c>
      <c r="F717" s="25" t="s">
        <v>10</v>
      </c>
      <c r="G717" s="26">
        <v>45769.0</v>
      </c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3">
        <v>45506.0</v>
      </c>
      <c r="B718" s="19" t="s">
        <v>512</v>
      </c>
      <c r="C718" s="19" t="s">
        <v>143</v>
      </c>
      <c r="D718" s="12">
        <v>1.0</v>
      </c>
      <c r="E718" s="16">
        <v>2300.0</v>
      </c>
      <c r="F718" s="8" t="s">
        <v>10</v>
      </c>
      <c r="G718" s="9">
        <v>45527.0</v>
      </c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3">
        <v>45506.0</v>
      </c>
      <c r="B719" s="19" t="s">
        <v>44</v>
      </c>
      <c r="C719" s="19" t="s">
        <v>126</v>
      </c>
      <c r="D719" s="32">
        <v>2.0</v>
      </c>
      <c r="E719" s="31">
        <v>2660.0</v>
      </c>
      <c r="F719" s="8" t="s">
        <v>10</v>
      </c>
      <c r="G719" s="9">
        <v>45559.0</v>
      </c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3">
        <v>45506.0</v>
      </c>
      <c r="B720" s="19" t="s">
        <v>370</v>
      </c>
      <c r="C720" s="19" t="s">
        <v>133</v>
      </c>
      <c r="D720" s="12">
        <v>4.0</v>
      </c>
      <c r="E720" s="16">
        <v>4000.0</v>
      </c>
      <c r="F720" s="8" t="s">
        <v>10</v>
      </c>
      <c r="G720" s="9">
        <v>45509.0</v>
      </c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3">
        <v>45506.0</v>
      </c>
      <c r="B721" s="19" t="s">
        <v>513</v>
      </c>
      <c r="C721" s="19" t="s">
        <v>143</v>
      </c>
      <c r="D721" s="12">
        <v>4.0</v>
      </c>
      <c r="E721" s="16">
        <v>7200.0</v>
      </c>
      <c r="F721" s="8" t="s">
        <v>10</v>
      </c>
      <c r="G721" s="9">
        <v>45527.0</v>
      </c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3">
        <v>45509.0</v>
      </c>
      <c r="B722" s="19" t="s">
        <v>514</v>
      </c>
      <c r="C722" s="19" t="s">
        <v>156</v>
      </c>
      <c r="D722" s="12">
        <v>1.0</v>
      </c>
      <c r="E722" s="16">
        <v>980.0</v>
      </c>
      <c r="F722" s="8" t="s">
        <v>10</v>
      </c>
      <c r="G722" s="9">
        <v>45509.0</v>
      </c>
      <c r="H722" s="8" t="s">
        <v>515</v>
      </c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3">
        <v>45509.0</v>
      </c>
      <c r="B723" s="19" t="s">
        <v>516</v>
      </c>
      <c r="C723" s="19" t="s">
        <v>154</v>
      </c>
      <c r="D723" s="12">
        <v>4.0</v>
      </c>
      <c r="E723" s="16">
        <v>3050.0</v>
      </c>
      <c r="F723" s="8" t="s">
        <v>10</v>
      </c>
      <c r="G723" s="9">
        <v>45509.0</v>
      </c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3">
        <v>45509.0</v>
      </c>
      <c r="B724" s="11" t="s">
        <v>517</v>
      </c>
      <c r="C724" s="11" t="s">
        <v>133</v>
      </c>
      <c r="D724" s="12">
        <v>2.0</v>
      </c>
      <c r="E724" s="5">
        <v>3600.0</v>
      </c>
      <c r="F724" s="8" t="s">
        <v>10</v>
      </c>
      <c r="G724" s="9">
        <v>45539.0</v>
      </c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3">
        <v>45509.0</v>
      </c>
      <c r="B725" s="19" t="s">
        <v>513</v>
      </c>
      <c r="C725" s="19" t="s">
        <v>143</v>
      </c>
      <c r="D725" s="12">
        <v>2.0</v>
      </c>
      <c r="E725" s="16">
        <v>3600.0</v>
      </c>
      <c r="F725" s="8" t="s">
        <v>10</v>
      </c>
      <c r="G725" s="9">
        <v>45527.0</v>
      </c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3">
        <v>45510.0</v>
      </c>
      <c r="B726" s="19" t="s">
        <v>75</v>
      </c>
      <c r="C726" s="19" t="s">
        <v>325</v>
      </c>
      <c r="D726" s="12">
        <v>1.0</v>
      </c>
      <c r="E726" s="24">
        <v>850.0</v>
      </c>
      <c r="F726" s="25" t="s">
        <v>10</v>
      </c>
      <c r="G726" s="9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3">
        <v>45510.0</v>
      </c>
      <c r="B727" s="19" t="s">
        <v>302</v>
      </c>
      <c r="C727" s="19" t="s">
        <v>143</v>
      </c>
      <c r="D727" s="12">
        <v>1.0</v>
      </c>
      <c r="E727" s="16">
        <v>2400.0</v>
      </c>
      <c r="F727" s="8" t="s">
        <v>10</v>
      </c>
      <c r="G727" s="9">
        <v>45530.0</v>
      </c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3">
        <v>45510.0</v>
      </c>
      <c r="B728" s="19" t="s">
        <v>518</v>
      </c>
      <c r="C728" s="19" t="s">
        <v>133</v>
      </c>
      <c r="D728" s="12">
        <v>4.0</v>
      </c>
      <c r="E728" s="16">
        <v>5800.0</v>
      </c>
      <c r="F728" s="8" t="s">
        <v>10</v>
      </c>
      <c r="G728" s="9">
        <v>45527.0</v>
      </c>
      <c r="H728" s="8" t="s">
        <v>519</v>
      </c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3">
        <v>45511.0</v>
      </c>
      <c r="B729" s="19" t="s">
        <v>520</v>
      </c>
      <c r="C729" s="19" t="s">
        <v>133</v>
      </c>
      <c r="D729" s="12">
        <v>2.0</v>
      </c>
      <c r="E729" s="16">
        <v>2100.0</v>
      </c>
      <c r="F729" s="8" t="s">
        <v>10</v>
      </c>
      <c r="G729" s="9">
        <v>45512.0</v>
      </c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3">
        <v>45511.0</v>
      </c>
      <c r="B730" s="19" t="s">
        <v>521</v>
      </c>
      <c r="C730" s="19" t="s">
        <v>154</v>
      </c>
      <c r="D730" s="12">
        <v>2.0</v>
      </c>
      <c r="E730" s="16">
        <v>4415.0</v>
      </c>
      <c r="F730" s="8" t="s">
        <v>10</v>
      </c>
      <c r="G730" s="9">
        <v>45511.0</v>
      </c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3">
        <v>45512.0</v>
      </c>
      <c r="B731" s="19" t="s">
        <v>522</v>
      </c>
      <c r="C731" s="19" t="s">
        <v>325</v>
      </c>
      <c r="D731" s="12">
        <v>1.0</v>
      </c>
      <c r="E731" s="24">
        <v>1300.0</v>
      </c>
      <c r="F731" s="25" t="s">
        <v>10</v>
      </c>
      <c r="G731" s="9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3">
        <v>45512.0</v>
      </c>
      <c r="B732" s="19" t="s">
        <v>208</v>
      </c>
      <c r="C732" s="19" t="s">
        <v>126</v>
      </c>
      <c r="D732" s="12">
        <v>2.0</v>
      </c>
      <c r="E732" s="24">
        <v>2900.0</v>
      </c>
      <c r="F732" s="8" t="s">
        <v>10</v>
      </c>
      <c r="G732" s="9">
        <v>45594.0</v>
      </c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3">
        <v>45513.0</v>
      </c>
      <c r="B733" s="19" t="s">
        <v>523</v>
      </c>
      <c r="C733" s="19" t="s">
        <v>133</v>
      </c>
      <c r="D733" s="12">
        <v>2.0</v>
      </c>
      <c r="E733" s="16">
        <v>1400.0</v>
      </c>
      <c r="F733" s="8" t="s">
        <v>10</v>
      </c>
      <c r="G733" s="9">
        <v>45513.0</v>
      </c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3">
        <v>45513.0</v>
      </c>
      <c r="B734" s="19" t="s">
        <v>522</v>
      </c>
      <c r="C734" s="19" t="s">
        <v>143</v>
      </c>
      <c r="D734" s="12">
        <v>1.0</v>
      </c>
      <c r="E734" s="16">
        <v>1450.0</v>
      </c>
      <c r="F734" s="8" t="s">
        <v>10</v>
      </c>
      <c r="G734" s="9">
        <v>45530.0</v>
      </c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3">
        <v>45513.0</v>
      </c>
      <c r="B735" s="19" t="s">
        <v>524</v>
      </c>
      <c r="C735" s="19" t="s">
        <v>143</v>
      </c>
      <c r="D735" s="12">
        <v>1.0</v>
      </c>
      <c r="E735" s="16">
        <v>1700.0</v>
      </c>
      <c r="F735" s="8" t="s">
        <v>10</v>
      </c>
      <c r="G735" s="9">
        <v>45530.0</v>
      </c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3">
        <v>45513.0</v>
      </c>
      <c r="B736" s="19" t="s">
        <v>525</v>
      </c>
      <c r="C736" s="19" t="s">
        <v>133</v>
      </c>
      <c r="D736" s="12">
        <v>2.0</v>
      </c>
      <c r="E736" s="16">
        <v>4600.0</v>
      </c>
      <c r="F736" s="8" t="s">
        <v>10</v>
      </c>
      <c r="G736" s="9">
        <v>45514.0</v>
      </c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3">
        <v>45514.0</v>
      </c>
      <c r="B737" s="19" t="s">
        <v>266</v>
      </c>
      <c r="C737" s="19" t="s">
        <v>526</v>
      </c>
      <c r="D737" s="12">
        <v>5.0</v>
      </c>
      <c r="E737" s="16">
        <v>2400.0</v>
      </c>
      <c r="F737" s="8" t="s">
        <v>10</v>
      </c>
      <c r="G737" s="9">
        <v>45514.0</v>
      </c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3">
        <v>45516.0</v>
      </c>
      <c r="B738" s="19" t="s">
        <v>527</v>
      </c>
      <c r="C738" s="19" t="s">
        <v>133</v>
      </c>
      <c r="D738" s="12">
        <v>2.0</v>
      </c>
      <c r="E738" s="16">
        <v>2700.0</v>
      </c>
      <c r="F738" s="8" t="s">
        <v>10</v>
      </c>
      <c r="G738" s="9">
        <v>45516.0</v>
      </c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3">
        <v>45516.0</v>
      </c>
      <c r="B739" s="19" t="s">
        <v>528</v>
      </c>
      <c r="C739" s="19" t="s">
        <v>133</v>
      </c>
      <c r="D739" s="12">
        <v>2.0</v>
      </c>
      <c r="E739" s="16">
        <v>3600.0</v>
      </c>
      <c r="F739" s="8" t="s">
        <v>10</v>
      </c>
      <c r="G739" s="9">
        <v>45516.0</v>
      </c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3">
        <v>45516.0</v>
      </c>
      <c r="B740" s="19" t="s">
        <v>467</v>
      </c>
      <c r="C740" s="19" t="s">
        <v>143</v>
      </c>
      <c r="D740" s="12">
        <v>4.0</v>
      </c>
      <c r="E740" s="16">
        <v>5000.0</v>
      </c>
      <c r="F740" s="8" t="s">
        <v>10</v>
      </c>
      <c r="G740" s="9">
        <v>45530.0</v>
      </c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3">
        <v>45517.0</v>
      </c>
      <c r="B741" s="19" t="s">
        <v>479</v>
      </c>
      <c r="C741" s="19" t="s">
        <v>143</v>
      </c>
      <c r="D741" s="12">
        <v>2.0</v>
      </c>
      <c r="E741" s="16">
        <v>2400.0</v>
      </c>
      <c r="F741" s="8" t="s">
        <v>10</v>
      </c>
      <c r="G741" s="9">
        <v>45532.0</v>
      </c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3">
        <v>45518.0</v>
      </c>
      <c r="B742" s="19" t="s">
        <v>529</v>
      </c>
      <c r="C742" s="33" t="s">
        <v>322</v>
      </c>
      <c r="D742" s="12">
        <v>4.0</v>
      </c>
      <c r="E742" s="24">
        <v>2400.0</v>
      </c>
      <c r="F742" s="25" t="s">
        <v>10</v>
      </c>
      <c r="G742" s="9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3">
        <v>45519.0</v>
      </c>
      <c r="B743" s="19" t="s">
        <v>530</v>
      </c>
      <c r="C743" s="19" t="s">
        <v>133</v>
      </c>
      <c r="D743" s="12">
        <v>1.0</v>
      </c>
      <c r="E743" s="16">
        <v>930.0</v>
      </c>
      <c r="F743" s="8" t="s">
        <v>10</v>
      </c>
      <c r="G743" s="9">
        <v>45527.0</v>
      </c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3">
        <v>45519.0</v>
      </c>
      <c r="B744" s="19" t="s">
        <v>100</v>
      </c>
      <c r="C744" s="19" t="s">
        <v>133</v>
      </c>
      <c r="D744" s="12">
        <v>2.0</v>
      </c>
      <c r="E744" s="24">
        <v>1520.0</v>
      </c>
      <c r="F744" s="8" t="s">
        <v>10</v>
      </c>
      <c r="G744" s="9">
        <v>45539.0</v>
      </c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3">
        <v>45519.0</v>
      </c>
      <c r="B745" s="11" t="s">
        <v>531</v>
      </c>
      <c r="C745" s="11" t="s">
        <v>9</v>
      </c>
      <c r="D745" s="12">
        <v>2.0</v>
      </c>
      <c r="E745" s="11">
        <v>2200.0</v>
      </c>
      <c r="F745" s="8" t="s">
        <v>10</v>
      </c>
      <c r="G745" s="9">
        <v>45519.0</v>
      </c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3">
        <v>45519.0</v>
      </c>
      <c r="B746" s="19" t="s">
        <v>532</v>
      </c>
      <c r="C746" s="19" t="s">
        <v>143</v>
      </c>
      <c r="D746" s="12">
        <v>4.0</v>
      </c>
      <c r="E746" s="16">
        <v>7000.0</v>
      </c>
      <c r="F746" s="8" t="s">
        <v>10</v>
      </c>
      <c r="G746" s="9">
        <v>45532.0</v>
      </c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3">
        <v>45520.0</v>
      </c>
      <c r="B747" s="19" t="s">
        <v>533</v>
      </c>
      <c r="C747" s="19" t="s">
        <v>154</v>
      </c>
      <c r="D747" s="12">
        <v>1.0</v>
      </c>
      <c r="E747" s="16">
        <v>1288.0</v>
      </c>
      <c r="F747" s="8" t="s">
        <v>10</v>
      </c>
      <c r="G747" s="9">
        <v>45520.0</v>
      </c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3">
        <v>45520.0</v>
      </c>
      <c r="B748" s="19" t="s">
        <v>297</v>
      </c>
      <c r="C748" s="19" t="s">
        <v>133</v>
      </c>
      <c r="D748" s="12">
        <v>2.0</v>
      </c>
      <c r="E748" s="16">
        <v>1500.0</v>
      </c>
      <c r="F748" s="8" t="s">
        <v>10</v>
      </c>
      <c r="G748" s="9">
        <v>45527.0</v>
      </c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3">
        <v>45520.0</v>
      </c>
      <c r="B749" s="11" t="s">
        <v>534</v>
      </c>
      <c r="C749" s="11" t="s">
        <v>133</v>
      </c>
      <c r="D749" s="12">
        <v>2.0</v>
      </c>
      <c r="E749" s="5">
        <v>2400.0</v>
      </c>
      <c r="F749" s="8" t="s">
        <v>10</v>
      </c>
      <c r="G749" s="9">
        <v>45539.0</v>
      </c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3">
        <v>45521.0</v>
      </c>
      <c r="B750" s="19" t="s">
        <v>535</v>
      </c>
      <c r="C750" s="19" t="s">
        <v>159</v>
      </c>
      <c r="D750" s="12">
        <v>4.0</v>
      </c>
      <c r="E750" s="16">
        <v>2480.0</v>
      </c>
      <c r="F750" s="8" t="s">
        <v>10</v>
      </c>
      <c r="G750" s="9">
        <v>45523.0</v>
      </c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3">
        <v>45521.0</v>
      </c>
      <c r="B751" s="19" t="s">
        <v>430</v>
      </c>
      <c r="C751" s="19" t="s">
        <v>133</v>
      </c>
      <c r="D751" s="12">
        <v>4.0</v>
      </c>
      <c r="E751" s="16">
        <v>2600.0</v>
      </c>
      <c r="F751" s="8" t="s">
        <v>10</v>
      </c>
      <c r="G751" s="9">
        <v>45527.0</v>
      </c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3">
        <v>45521.0</v>
      </c>
      <c r="B752" s="19" t="s">
        <v>536</v>
      </c>
      <c r="C752" s="19" t="s">
        <v>143</v>
      </c>
      <c r="D752" s="12">
        <v>2.0</v>
      </c>
      <c r="E752" s="16">
        <v>3200.0</v>
      </c>
      <c r="F752" s="8" t="s">
        <v>10</v>
      </c>
      <c r="G752" s="9">
        <v>45532.0</v>
      </c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3">
        <v>45523.0</v>
      </c>
      <c r="B753" s="19" t="s">
        <v>39</v>
      </c>
      <c r="C753" s="19" t="s">
        <v>9</v>
      </c>
      <c r="D753" s="12">
        <v>2.0</v>
      </c>
      <c r="E753" s="16">
        <v>1960.0</v>
      </c>
      <c r="F753" s="8" t="s">
        <v>10</v>
      </c>
      <c r="G753" s="9">
        <v>45523.0</v>
      </c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3">
        <v>45523.0</v>
      </c>
      <c r="B754" s="19" t="s">
        <v>427</v>
      </c>
      <c r="C754" s="19" t="s">
        <v>143</v>
      </c>
      <c r="D754" s="12">
        <v>2.0</v>
      </c>
      <c r="E754" s="24">
        <v>2100.0</v>
      </c>
      <c r="F754" s="8" t="s">
        <v>10</v>
      </c>
      <c r="G754" s="9">
        <v>45547.0</v>
      </c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3">
        <v>45523.0</v>
      </c>
      <c r="B755" s="19" t="s">
        <v>537</v>
      </c>
      <c r="C755" s="19" t="s">
        <v>128</v>
      </c>
      <c r="D755" s="12">
        <v>2.0</v>
      </c>
      <c r="E755" s="16">
        <v>2140.0</v>
      </c>
      <c r="F755" s="8" t="s">
        <v>10</v>
      </c>
      <c r="G755" s="9">
        <v>45523.0</v>
      </c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3">
        <v>45523.0</v>
      </c>
      <c r="B756" s="19" t="s">
        <v>427</v>
      </c>
      <c r="C756" s="19" t="s">
        <v>83</v>
      </c>
      <c r="D756" s="12">
        <v>2.0</v>
      </c>
      <c r="E756" s="16">
        <v>2200.0</v>
      </c>
      <c r="F756" s="25" t="s">
        <v>10</v>
      </c>
      <c r="G756" s="26">
        <v>45775.0</v>
      </c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3">
        <v>45523.0</v>
      </c>
      <c r="B757" s="19" t="s">
        <v>538</v>
      </c>
      <c r="C757" s="19" t="s">
        <v>143</v>
      </c>
      <c r="D757" s="12">
        <v>4.0</v>
      </c>
      <c r="E757" s="24">
        <v>4400.0</v>
      </c>
      <c r="F757" s="8" t="s">
        <v>10</v>
      </c>
      <c r="G757" s="9">
        <v>45547.0</v>
      </c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3">
        <v>45523.0</v>
      </c>
      <c r="B758" s="19" t="s">
        <v>539</v>
      </c>
      <c r="C758" s="19" t="s">
        <v>133</v>
      </c>
      <c r="D758" s="12">
        <v>4.0</v>
      </c>
      <c r="E758" s="16">
        <v>4800.0</v>
      </c>
      <c r="F758" s="8" t="s">
        <v>10</v>
      </c>
      <c r="G758" s="9">
        <v>45527.0</v>
      </c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3">
        <v>45526.0</v>
      </c>
      <c r="B759" s="19" t="s">
        <v>13</v>
      </c>
      <c r="C759" s="19" t="s">
        <v>9</v>
      </c>
      <c r="D759" s="12">
        <v>1.0</v>
      </c>
      <c r="E759" s="16">
        <v>1380.0</v>
      </c>
      <c r="F759" s="8" t="s">
        <v>10</v>
      </c>
      <c r="G759" s="9">
        <v>45526.0</v>
      </c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3">
        <v>45526.0</v>
      </c>
      <c r="B760" s="19" t="s">
        <v>118</v>
      </c>
      <c r="C760" s="19" t="s">
        <v>154</v>
      </c>
      <c r="D760" s="12">
        <v>2.0</v>
      </c>
      <c r="E760" s="16">
        <v>1420.0</v>
      </c>
      <c r="F760" s="8" t="s">
        <v>10</v>
      </c>
      <c r="G760" s="9">
        <v>45526.0</v>
      </c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3">
        <v>45526.0</v>
      </c>
      <c r="B761" s="19" t="s">
        <v>540</v>
      </c>
      <c r="C761" s="19" t="s">
        <v>133</v>
      </c>
      <c r="D761" s="12">
        <v>4.0</v>
      </c>
      <c r="E761" s="16">
        <v>2800.0</v>
      </c>
      <c r="F761" s="8" t="s">
        <v>10</v>
      </c>
      <c r="G761" s="9">
        <v>45526.0</v>
      </c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3">
        <v>45526.0</v>
      </c>
      <c r="B762" s="19" t="s">
        <v>541</v>
      </c>
      <c r="C762" s="19" t="s">
        <v>143</v>
      </c>
      <c r="D762" s="12">
        <v>2.0</v>
      </c>
      <c r="E762" s="16">
        <v>3000.0</v>
      </c>
      <c r="F762" s="8" t="s">
        <v>10</v>
      </c>
      <c r="G762" s="9">
        <v>45547.0</v>
      </c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3">
        <v>45526.0</v>
      </c>
      <c r="B763" s="19" t="s">
        <v>542</v>
      </c>
      <c r="C763" s="19" t="s">
        <v>154</v>
      </c>
      <c r="D763" s="12">
        <v>2.0</v>
      </c>
      <c r="E763" s="16">
        <v>3100.0</v>
      </c>
      <c r="F763" s="8" t="s">
        <v>10</v>
      </c>
      <c r="G763" s="9">
        <v>45526.0</v>
      </c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3">
        <v>45526.0</v>
      </c>
      <c r="B764" s="19" t="s">
        <v>543</v>
      </c>
      <c r="C764" s="19" t="s">
        <v>143</v>
      </c>
      <c r="D764" s="12">
        <v>2.0</v>
      </c>
      <c r="E764" s="16">
        <v>3200.0</v>
      </c>
      <c r="F764" s="8" t="s">
        <v>10</v>
      </c>
      <c r="G764" s="9">
        <v>45547.0</v>
      </c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3">
        <v>45526.0</v>
      </c>
      <c r="B765" s="19" t="s">
        <v>471</v>
      </c>
      <c r="C765" s="19" t="s">
        <v>143</v>
      </c>
      <c r="D765" s="12">
        <v>2.0</v>
      </c>
      <c r="E765" s="16">
        <v>3500.0</v>
      </c>
      <c r="F765" s="8" t="s">
        <v>10</v>
      </c>
      <c r="G765" s="9">
        <v>45547.0</v>
      </c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3">
        <v>45527.0</v>
      </c>
      <c r="B766" s="19" t="s">
        <v>439</v>
      </c>
      <c r="C766" s="19" t="s">
        <v>156</v>
      </c>
      <c r="D766" s="12">
        <v>1.0</v>
      </c>
      <c r="E766" s="16">
        <v>737.0</v>
      </c>
      <c r="F766" s="8" t="s">
        <v>10</v>
      </c>
      <c r="G766" s="9">
        <v>45528.0</v>
      </c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3">
        <v>45527.0</v>
      </c>
      <c r="B767" s="19" t="s">
        <v>295</v>
      </c>
      <c r="C767" s="19" t="s">
        <v>504</v>
      </c>
      <c r="D767" s="12">
        <v>2.0</v>
      </c>
      <c r="E767" s="16">
        <v>2813.0</v>
      </c>
      <c r="F767" s="8" t="s">
        <v>10</v>
      </c>
      <c r="G767" s="9">
        <v>45527.0</v>
      </c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3">
        <v>45527.0</v>
      </c>
      <c r="B768" s="19" t="s">
        <v>544</v>
      </c>
      <c r="C768" s="19" t="s">
        <v>126</v>
      </c>
      <c r="D768" s="12">
        <v>4.0</v>
      </c>
      <c r="E768" s="24">
        <v>7800.0</v>
      </c>
      <c r="F768" s="8" t="s">
        <v>10</v>
      </c>
      <c r="G768" s="9">
        <v>45594.0</v>
      </c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3">
        <v>45528.0</v>
      </c>
      <c r="B769" s="19" t="s">
        <v>200</v>
      </c>
      <c r="C769" s="19" t="s">
        <v>143</v>
      </c>
      <c r="D769" s="12">
        <v>2.0</v>
      </c>
      <c r="E769" s="16">
        <v>1400.0</v>
      </c>
      <c r="F769" s="8" t="s">
        <v>10</v>
      </c>
      <c r="G769" s="9">
        <v>45558.0</v>
      </c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3">
        <v>45528.0</v>
      </c>
      <c r="B770" s="19" t="s">
        <v>545</v>
      </c>
      <c r="C770" s="19" t="s">
        <v>143</v>
      </c>
      <c r="D770" s="12">
        <v>2.0</v>
      </c>
      <c r="E770" s="16">
        <v>2200.0</v>
      </c>
      <c r="F770" s="8" t="s">
        <v>10</v>
      </c>
      <c r="G770" s="9">
        <v>45558.0</v>
      </c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3">
        <v>45530.0</v>
      </c>
      <c r="B771" s="19" t="s">
        <v>546</v>
      </c>
      <c r="C771" s="19" t="s">
        <v>128</v>
      </c>
      <c r="D771" s="12">
        <v>2.0</v>
      </c>
      <c r="E771" s="16">
        <v>1867.0</v>
      </c>
      <c r="F771" s="8" t="s">
        <v>10</v>
      </c>
      <c r="G771" s="9">
        <v>45530.0</v>
      </c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3">
        <v>45531.0</v>
      </c>
      <c r="B772" s="19" t="s">
        <v>547</v>
      </c>
      <c r="C772" s="19" t="s">
        <v>154</v>
      </c>
      <c r="D772" s="12">
        <v>1.0</v>
      </c>
      <c r="E772" s="16">
        <v>1769.0</v>
      </c>
      <c r="F772" s="8" t="s">
        <v>10</v>
      </c>
      <c r="G772" s="9">
        <v>45532.0</v>
      </c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3">
        <v>45531.0</v>
      </c>
      <c r="B773" s="19" t="s">
        <v>548</v>
      </c>
      <c r="C773" s="19" t="s">
        <v>133</v>
      </c>
      <c r="D773" s="12">
        <v>4.0</v>
      </c>
      <c r="E773" s="16">
        <v>3040.0</v>
      </c>
      <c r="F773" s="8" t="s">
        <v>10</v>
      </c>
      <c r="G773" s="9">
        <v>45541.0</v>
      </c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3">
        <v>45532.0</v>
      </c>
      <c r="B774" s="19" t="s">
        <v>549</v>
      </c>
      <c r="C774" s="19" t="s">
        <v>156</v>
      </c>
      <c r="D774" s="12">
        <v>1.0</v>
      </c>
      <c r="E774" s="16">
        <v>815.0</v>
      </c>
      <c r="F774" s="8" t="s">
        <v>10</v>
      </c>
      <c r="G774" s="9">
        <v>45532.0</v>
      </c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3">
        <v>45532.0</v>
      </c>
      <c r="B775" s="19" t="s">
        <v>550</v>
      </c>
      <c r="C775" s="19" t="s">
        <v>154</v>
      </c>
      <c r="D775" s="12">
        <v>1.0</v>
      </c>
      <c r="E775" s="16">
        <v>1170.0</v>
      </c>
      <c r="F775" s="8" t="s">
        <v>10</v>
      </c>
      <c r="G775" s="9">
        <v>45532.0</v>
      </c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3">
        <v>45532.0</v>
      </c>
      <c r="B776" s="19" t="s">
        <v>551</v>
      </c>
      <c r="C776" s="19" t="s">
        <v>9</v>
      </c>
      <c r="D776" s="12">
        <v>1.0</v>
      </c>
      <c r="E776" s="16">
        <v>1200.0</v>
      </c>
      <c r="F776" s="8" t="s">
        <v>10</v>
      </c>
      <c r="G776" s="9">
        <v>45532.0</v>
      </c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3">
        <v>45532.0</v>
      </c>
      <c r="B777" s="19" t="s">
        <v>552</v>
      </c>
      <c r="C777" s="19" t="s">
        <v>133</v>
      </c>
      <c r="D777" s="12">
        <v>1.0</v>
      </c>
      <c r="E777" s="16">
        <v>2450.0</v>
      </c>
      <c r="F777" s="8" t="s">
        <v>10</v>
      </c>
      <c r="G777" s="9">
        <v>45541.0</v>
      </c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3">
        <v>45532.0</v>
      </c>
      <c r="B778" s="19" t="s">
        <v>27</v>
      </c>
      <c r="C778" s="19" t="s">
        <v>133</v>
      </c>
      <c r="D778" s="12">
        <v>2.0</v>
      </c>
      <c r="E778" s="16">
        <v>2700.0</v>
      </c>
      <c r="F778" s="8" t="s">
        <v>10</v>
      </c>
      <c r="G778" s="9">
        <v>45541.0</v>
      </c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3">
        <v>45532.0</v>
      </c>
      <c r="B779" s="19" t="s">
        <v>553</v>
      </c>
      <c r="C779" s="19" t="s">
        <v>325</v>
      </c>
      <c r="D779" s="12">
        <v>1.0</v>
      </c>
      <c r="E779" s="24">
        <v>2850.0</v>
      </c>
      <c r="F779" s="25" t="s">
        <v>10</v>
      </c>
      <c r="G779" s="9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3">
        <v>45532.0</v>
      </c>
      <c r="B780" s="19" t="s">
        <v>554</v>
      </c>
      <c r="C780" s="19" t="s">
        <v>133</v>
      </c>
      <c r="D780" s="12">
        <v>4.0</v>
      </c>
      <c r="E780" s="16">
        <v>8200.0</v>
      </c>
      <c r="F780" s="8" t="s">
        <v>10</v>
      </c>
      <c r="G780" s="9">
        <v>45532.0</v>
      </c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3">
        <v>45533.0</v>
      </c>
      <c r="B781" s="19" t="s">
        <v>488</v>
      </c>
      <c r="C781" s="19" t="s">
        <v>83</v>
      </c>
      <c r="D781" s="12">
        <v>1.0</v>
      </c>
      <c r="E781" s="16">
        <v>1200.0</v>
      </c>
      <c r="F781" s="25" t="s">
        <v>10</v>
      </c>
      <c r="G781" s="26">
        <v>45775.0</v>
      </c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3">
        <v>45533.0</v>
      </c>
      <c r="B782" s="19" t="s">
        <v>555</v>
      </c>
      <c r="C782" s="19" t="s">
        <v>325</v>
      </c>
      <c r="D782" s="12">
        <v>1.0</v>
      </c>
      <c r="E782" s="24">
        <v>1550.0</v>
      </c>
      <c r="F782" s="25" t="s">
        <v>10</v>
      </c>
      <c r="G782" s="26">
        <v>45542.0</v>
      </c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3">
        <v>45533.0</v>
      </c>
      <c r="B783" s="19" t="s">
        <v>556</v>
      </c>
      <c r="C783" s="19" t="s">
        <v>128</v>
      </c>
      <c r="D783" s="12">
        <v>1.0</v>
      </c>
      <c r="E783" s="16">
        <v>1620.0</v>
      </c>
      <c r="F783" s="8" t="s">
        <v>10</v>
      </c>
      <c r="G783" s="9">
        <v>45533.0</v>
      </c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3">
        <v>45533.0</v>
      </c>
      <c r="B784" s="19" t="s">
        <v>557</v>
      </c>
      <c r="C784" s="19" t="s">
        <v>128</v>
      </c>
      <c r="D784" s="12">
        <v>1.0</v>
      </c>
      <c r="E784" s="16">
        <v>2275.0</v>
      </c>
      <c r="F784" s="8" t="s">
        <v>10</v>
      </c>
      <c r="G784" s="9">
        <v>45533.0</v>
      </c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3">
        <v>45534.0</v>
      </c>
      <c r="B785" s="19" t="s">
        <v>551</v>
      </c>
      <c r="C785" s="19" t="s">
        <v>9</v>
      </c>
      <c r="D785" s="12">
        <v>1.0</v>
      </c>
      <c r="E785" s="16">
        <v>1200.0</v>
      </c>
      <c r="F785" s="8" t="s">
        <v>10</v>
      </c>
      <c r="G785" s="9">
        <v>45534.0</v>
      </c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3">
        <v>45534.0</v>
      </c>
      <c r="B786" s="19" t="s">
        <v>112</v>
      </c>
      <c r="C786" s="19" t="s">
        <v>113</v>
      </c>
      <c r="D786" s="12">
        <v>2.0</v>
      </c>
      <c r="E786" s="16">
        <v>1240.0</v>
      </c>
      <c r="F786" s="8" t="s">
        <v>10</v>
      </c>
      <c r="G786" s="9">
        <v>45537.0</v>
      </c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3">
        <v>45534.0</v>
      </c>
      <c r="B787" s="19" t="s">
        <v>86</v>
      </c>
      <c r="C787" s="19" t="s">
        <v>83</v>
      </c>
      <c r="D787" s="12">
        <v>1.0</v>
      </c>
      <c r="E787" s="16">
        <v>1350.0</v>
      </c>
      <c r="F787" s="8" t="s">
        <v>10</v>
      </c>
      <c r="G787" s="9">
        <v>45534.0</v>
      </c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3">
        <v>45534.0</v>
      </c>
      <c r="B788" s="19" t="s">
        <v>558</v>
      </c>
      <c r="C788" s="19" t="s">
        <v>143</v>
      </c>
      <c r="D788" s="12">
        <v>2.0</v>
      </c>
      <c r="E788" s="16">
        <v>1860.0</v>
      </c>
      <c r="F788" s="8" t="s">
        <v>10</v>
      </c>
      <c r="G788" s="9">
        <v>45537.0</v>
      </c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3">
        <v>45534.0</v>
      </c>
      <c r="B789" s="19" t="s">
        <v>559</v>
      </c>
      <c r="C789" s="19" t="s">
        <v>156</v>
      </c>
      <c r="D789" s="12">
        <v>4.0</v>
      </c>
      <c r="E789" s="16">
        <v>4270.0</v>
      </c>
      <c r="F789" s="8" t="s">
        <v>10</v>
      </c>
      <c r="G789" s="9">
        <v>45534.0</v>
      </c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3">
        <v>45535.0</v>
      </c>
      <c r="B790" s="19" t="s">
        <v>40</v>
      </c>
      <c r="C790" s="19" t="s">
        <v>9</v>
      </c>
      <c r="D790" s="12">
        <v>1.0</v>
      </c>
      <c r="E790" s="16">
        <v>1750.0</v>
      </c>
      <c r="F790" s="8" t="s">
        <v>10</v>
      </c>
      <c r="G790" s="9">
        <v>45535.0</v>
      </c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3">
        <v>45535.0</v>
      </c>
      <c r="B791" s="19" t="s">
        <v>560</v>
      </c>
      <c r="C791" s="19" t="s">
        <v>133</v>
      </c>
      <c r="D791" s="12">
        <v>1.0</v>
      </c>
      <c r="E791" s="16">
        <v>2350.0</v>
      </c>
      <c r="F791" s="8" t="s">
        <v>10</v>
      </c>
      <c r="G791" s="9">
        <v>45541.0</v>
      </c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3">
        <v>45535.0</v>
      </c>
      <c r="B792" s="19" t="s">
        <v>561</v>
      </c>
      <c r="C792" s="19" t="s">
        <v>504</v>
      </c>
      <c r="D792" s="12">
        <v>10.0</v>
      </c>
      <c r="E792" s="16">
        <v>6984.0</v>
      </c>
      <c r="F792" s="8" t="s">
        <v>10</v>
      </c>
      <c r="G792" s="9">
        <v>45535.0</v>
      </c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3">
        <v>45537.0</v>
      </c>
      <c r="B793" s="19" t="s">
        <v>562</v>
      </c>
      <c r="C793" s="19" t="s">
        <v>133</v>
      </c>
      <c r="D793" s="12">
        <v>1.0</v>
      </c>
      <c r="E793" s="16">
        <v>1380.0</v>
      </c>
      <c r="F793" s="8" t="s">
        <v>10</v>
      </c>
      <c r="G793" s="9">
        <v>45541.0</v>
      </c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3">
        <v>45537.0</v>
      </c>
      <c r="B794" s="19" t="s">
        <v>563</v>
      </c>
      <c r="C794" s="19" t="s">
        <v>143</v>
      </c>
      <c r="D794" s="12">
        <v>2.0</v>
      </c>
      <c r="E794" s="16">
        <v>1800.0</v>
      </c>
      <c r="F794" s="8" t="s">
        <v>10</v>
      </c>
      <c r="G794" s="9">
        <v>45537.0</v>
      </c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3">
        <v>45537.0</v>
      </c>
      <c r="B795" s="19" t="s">
        <v>564</v>
      </c>
      <c r="C795" s="19" t="s">
        <v>154</v>
      </c>
      <c r="D795" s="12">
        <v>1.0</v>
      </c>
      <c r="E795" s="16">
        <v>1904.0</v>
      </c>
      <c r="F795" s="8" t="s">
        <v>10</v>
      </c>
      <c r="G795" s="9">
        <v>45537.0</v>
      </c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3">
        <v>45537.0</v>
      </c>
      <c r="B796" s="19" t="s">
        <v>565</v>
      </c>
      <c r="C796" s="19" t="s">
        <v>126</v>
      </c>
      <c r="D796" s="12">
        <v>2.0</v>
      </c>
      <c r="E796" s="24">
        <v>2900.0</v>
      </c>
      <c r="F796" s="8" t="s">
        <v>10</v>
      </c>
      <c r="G796" s="9">
        <v>45619.0</v>
      </c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3">
        <v>45537.0</v>
      </c>
      <c r="B797" s="19" t="s">
        <v>566</v>
      </c>
      <c r="C797" s="19" t="s">
        <v>83</v>
      </c>
      <c r="D797" s="12">
        <v>4.0</v>
      </c>
      <c r="E797" s="16">
        <v>10000.0</v>
      </c>
      <c r="F797" s="25" t="s">
        <v>10</v>
      </c>
      <c r="G797" s="26">
        <v>45694.0</v>
      </c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3">
        <v>45538.0</v>
      </c>
      <c r="B798" s="19" t="s">
        <v>270</v>
      </c>
      <c r="C798" s="19" t="s">
        <v>133</v>
      </c>
      <c r="D798" s="12">
        <v>4.0</v>
      </c>
      <c r="E798" s="16">
        <v>2600.0</v>
      </c>
      <c r="F798" s="8" t="s">
        <v>10</v>
      </c>
      <c r="G798" s="9">
        <v>45539.0</v>
      </c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3">
        <v>45538.0</v>
      </c>
      <c r="B799" s="19" t="s">
        <v>567</v>
      </c>
      <c r="C799" s="19" t="s">
        <v>143</v>
      </c>
      <c r="D799" s="12">
        <v>2.0</v>
      </c>
      <c r="E799" s="31">
        <v>2740.0</v>
      </c>
      <c r="F799" s="8" t="s">
        <v>10</v>
      </c>
      <c r="G799" s="9">
        <v>45565.0</v>
      </c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3">
        <v>45539.0</v>
      </c>
      <c r="B800" s="33" t="s">
        <v>568</v>
      </c>
      <c r="C800" s="19" t="s">
        <v>132</v>
      </c>
      <c r="D800" s="12">
        <v>1.0</v>
      </c>
      <c r="E800" s="16">
        <v>450.0</v>
      </c>
      <c r="F800" s="8" t="s">
        <v>10</v>
      </c>
      <c r="G800" s="9">
        <v>45539.0</v>
      </c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3">
        <v>45539.0</v>
      </c>
      <c r="B801" s="19" t="s">
        <v>569</v>
      </c>
      <c r="C801" s="19" t="s">
        <v>132</v>
      </c>
      <c r="D801" s="12">
        <v>1.0</v>
      </c>
      <c r="E801" s="16">
        <v>600.0</v>
      </c>
      <c r="F801" s="8" t="s">
        <v>10</v>
      </c>
      <c r="G801" s="9">
        <v>45539.0</v>
      </c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3">
        <v>45539.0</v>
      </c>
      <c r="B802" s="19" t="s">
        <v>354</v>
      </c>
      <c r="C802" s="19" t="s">
        <v>126</v>
      </c>
      <c r="D802" s="12">
        <v>2.0</v>
      </c>
      <c r="E802" s="24">
        <v>1540.0</v>
      </c>
      <c r="F802" s="8" t="s">
        <v>10</v>
      </c>
      <c r="G802" s="9">
        <v>45619.0</v>
      </c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3">
        <v>45539.0</v>
      </c>
      <c r="B803" s="19" t="s">
        <v>570</v>
      </c>
      <c r="C803" s="19" t="s">
        <v>113</v>
      </c>
      <c r="D803" s="12">
        <v>2.0</v>
      </c>
      <c r="E803" s="16">
        <v>1700.0</v>
      </c>
      <c r="F803" s="8" t="s">
        <v>10</v>
      </c>
      <c r="G803" s="9">
        <v>45612.0</v>
      </c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3">
        <v>45539.0</v>
      </c>
      <c r="B804" s="19" t="s">
        <v>303</v>
      </c>
      <c r="C804" s="19" t="s">
        <v>133</v>
      </c>
      <c r="D804" s="12">
        <v>2.0</v>
      </c>
      <c r="E804" s="16">
        <v>1760.0</v>
      </c>
      <c r="F804" s="8" t="s">
        <v>10</v>
      </c>
      <c r="G804" s="9">
        <v>45541.0</v>
      </c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3">
        <v>45539.0</v>
      </c>
      <c r="B805" s="19" t="s">
        <v>571</v>
      </c>
      <c r="C805" s="19" t="s">
        <v>113</v>
      </c>
      <c r="D805" s="12">
        <v>2.0</v>
      </c>
      <c r="E805" s="16">
        <v>1780.0</v>
      </c>
      <c r="F805" s="8" t="s">
        <v>10</v>
      </c>
      <c r="G805" s="9">
        <v>45612.0</v>
      </c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3">
        <v>45539.0</v>
      </c>
      <c r="B806" s="19" t="s">
        <v>572</v>
      </c>
      <c r="C806" s="19" t="s">
        <v>113</v>
      </c>
      <c r="D806" s="12">
        <v>2.0</v>
      </c>
      <c r="E806" s="16">
        <v>2300.0</v>
      </c>
      <c r="F806" s="8" t="s">
        <v>10</v>
      </c>
      <c r="G806" s="9">
        <v>45612.0</v>
      </c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3">
        <v>45539.0</v>
      </c>
      <c r="B807" s="19" t="s">
        <v>573</v>
      </c>
      <c r="C807" s="19" t="s">
        <v>113</v>
      </c>
      <c r="D807" s="12">
        <v>4.0</v>
      </c>
      <c r="E807" s="16">
        <v>4600.0</v>
      </c>
      <c r="F807" s="8" t="s">
        <v>10</v>
      </c>
      <c r="G807" s="9">
        <v>45612.0</v>
      </c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34">
        <v>45540.0</v>
      </c>
      <c r="B808" s="19" t="s">
        <v>574</v>
      </c>
      <c r="C808" s="19" t="s">
        <v>143</v>
      </c>
      <c r="D808" s="12">
        <v>3.0</v>
      </c>
      <c r="E808" s="31">
        <v>1860.0</v>
      </c>
      <c r="F808" s="8" t="s">
        <v>10</v>
      </c>
      <c r="G808" s="35">
        <v>45565.0</v>
      </c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3">
        <v>45540.0</v>
      </c>
      <c r="B809" s="19" t="s">
        <v>575</v>
      </c>
      <c r="C809" s="19" t="s">
        <v>138</v>
      </c>
      <c r="D809" s="12">
        <v>4.0</v>
      </c>
      <c r="E809" s="31">
        <v>4400.0</v>
      </c>
      <c r="F809" s="8" t="s">
        <v>10</v>
      </c>
      <c r="G809" s="35">
        <v>45554.0</v>
      </c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36">
        <v>45540.0</v>
      </c>
      <c r="B810" s="33" t="s">
        <v>576</v>
      </c>
      <c r="C810" s="33" t="s">
        <v>83</v>
      </c>
      <c r="D810" s="29">
        <v>2.0</v>
      </c>
      <c r="E810" s="16">
        <v>7200.0</v>
      </c>
      <c r="F810" s="25" t="s">
        <v>10</v>
      </c>
      <c r="G810" s="37">
        <v>45775.0</v>
      </c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3">
        <v>45541.0</v>
      </c>
      <c r="B811" s="19" t="s">
        <v>149</v>
      </c>
      <c r="C811" s="19" t="s">
        <v>138</v>
      </c>
      <c r="D811" s="12">
        <v>2.0</v>
      </c>
      <c r="E811" s="31">
        <v>2500.0</v>
      </c>
      <c r="F811" s="8" t="s">
        <v>10</v>
      </c>
      <c r="G811" s="35">
        <v>45554.0</v>
      </c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3">
        <v>45541.0</v>
      </c>
      <c r="B812" s="19" t="s">
        <v>577</v>
      </c>
      <c r="C812" s="19" t="s">
        <v>126</v>
      </c>
      <c r="D812" s="12">
        <v>2.0</v>
      </c>
      <c r="E812" s="24">
        <v>4200.0</v>
      </c>
      <c r="F812" s="8" t="s">
        <v>10</v>
      </c>
      <c r="G812" s="9">
        <v>45619.0</v>
      </c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3">
        <v>45541.0</v>
      </c>
      <c r="B813" s="19" t="s">
        <v>578</v>
      </c>
      <c r="C813" s="19" t="s">
        <v>126</v>
      </c>
      <c r="D813" s="12">
        <v>2.0</v>
      </c>
      <c r="E813" s="24">
        <v>5300.0</v>
      </c>
      <c r="F813" s="8" t="s">
        <v>10</v>
      </c>
      <c r="G813" s="9">
        <v>45619.0</v>
      </c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3">
        <v>45541.0</v>
      </c>
      <c r="B814" s="19" t="s">
        <v>579</v>
      </c>
      <c r="C814" s="19" t="s">
        <v>138</v>
      </c>
      <c r="D814" s="12">
        <v>4.0</v>
      </c>
      <c r="E814" s="16">
        <v>5700.0</v>
      </c>
      <c r="F814" s="8" t="s">
        <v>10</v>
      </c>
      <c r="G814" s="35">
        <v>45554.0</v>
      </c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3">
        <v>45544.0</v>
      </c>
      <c r="B815" s="19" t="s">
        <v>575</v>
      </c>
      <c r="C815" s="19" t="s">
        <v>9</v>
      </c>
      <c r="D815" s="12">
        <v>1.0</v>
      </c>
      <c r="E815" s="16">
        <v>1150.0</v>
      </c>
      <c r="F815" s="8" t="s">
        <v>10</v>
      </c>
      <c r="G815" s="35">
        <v>45544.0</v>
      </c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3">
        <v>45544.0</v>
      </c>
      <c r="B816" s="19" t="s">
        <v>488</v>
      </c>
      <c r="C816" s="19" t="s">
        <v>83</v>
      </c>
      <c r="D816" s="12">
        <v>1.0</v>
      </c>
      <c r="E816" s="16">
        <v>1200.0</v>
      </c>
      <c r="F816" s="25" t="s">
        <v>10</v>
      </c>
      <c r="G816" s="38">
        <v>45775.0</v>
      </c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3">
        <v>45544.0</v>
      </c>
      <c r="B817" s="19" t="s">
        <v>139</v>
      </c>
      <c r="C817" s="19" t="s">
        <v>133</v>
      </c>
      <c r="D817" s="12">
        <v>2.0</v>
      </c>
      <c r="E817" s="24">
        <v>1500.0</v>
      </c>
      <c r="F817" s="8" t="s">
        <v>10</v>
      </c>
      <c r="G817" s="35">
        <v>45559.0</v>
      </c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3">
        <v>45544.0</v>
      </c>
      <c r="B818" s="19" t="s">
        <v>580</v>
      </c>
      <c r="C818" s="19" t="s">
        <v>136</v>
      </c>
      <c r="D818" s="12">
        <v>3.0</v>
      </c>
      <c r="E818" s="16">
        <v>2490.0</v>
      </c>
      <c r="F818" s="8" t="s">
        <v>10</v>
      </c>
      <c r="G818" s="35">
        <v>45544.0</v>
      </c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3">
        <v>45544.0</v>
      </c>
      <c r="B819" s="19" t="s">
        <v>403</v>
      </c>
      <c r="C819" s="19" t="s">
        <v>9</v>
      </c>
      <c r="D819" s="12">
        <v>4.0</v>
      </c>
      <c r="E819" s="16">
        <v>4200.0</v>
      </c>
      <c r="F819" s="8" t="s">
        <v>10</v>
      </c>
      <c r="G819" s="35">
        <v>45544.0</v>
      </c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3">
        <v>45544.0</v>
      </c>
      <c r="B820" s="19" t="s">
        <v>100</v>
      </c>
      <c r="C820" s="19" t="s">
        <v>325</v>
      </c>
      <c r="D820" s="12">
        <v>12.0</v>
      </c>
      <c r="E820" s="24">
        <v>9000.0</v>
      </c>
      <c r="F820" s="25" t="s">
        <v>10</v>
      </c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3">
        <v>45546.0</v>
      </c>
      <c r="B821" s="19" t="s">
        <v>39</v>
      </c>
      <c r="C821" s="19" t="s">
        <v>126</v>
      </c>
      <c r="D821" s="12">
        <v>2.0</v>
      </c>
      <c r="E821" s="24">
        <v>1940.0</v>
      </c>
      <c r="F821" s="8" t="s">
        <v>10</v>
      </c>
      <c r="G821" s="35">
        <v>45630.0</v>
      </c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3">
        <v>45547.0</v>
      </c>
      <c r="B822" s="19" t="s">
        <v>39</v>
      </c>
      <c r="C822" s="19" t="s">
        <v>126</v>
      </c>
      <c r="D822" s="12">
        <v>4.0</v>
      </c>
      <c r="E822" s="24">
        <v>3880.0</v>
      </c>
      <c r="F822" s="8" t="s">
        <v>10</v>
      </c>
      <c r="G822" s="35">
        <v>45630.0</v>
      </c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3">
        <v>45549.0</v>
      </c>
      <c r="B823" s="19" t="s">
        <v>581</v>
      </c>
      <c r="C823" s="19" t="s">
        <v>133</v>
      </c>
      <c r="D823" s="12">
        <v>1.0</v>
      </c>
      <c r="E823" s="24">
        <v>1890.0</v>
      </c>
      <c r="F823" s="8" t="s">
        <v>10</v>
      </c>
      <c r="G823" s="35">
        <v>45559.0</v>
      </c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3">
        <v>45549.0</v>
      </c>
      <c r="B824" s="19" t="s">
        <v>575</v>
      </c>
      <c r="C824" s="19" t="s">
        <v>9</v>
      </c>
      <c r="D824" s="12">
        <v>2.0</v>
      </c>
      <c r="E824" s="16">
        <v>2300.0</v>
      </c>
      <c r="F824" s="8" t="s">
        <v>10</v>
      </c>
      <c r="G824" s="35">
        <v>45549.0</v>
      </c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3">
        <v>45553.0</v>
      </c>
      <c r="B825" s="19" t="s">
        <v>47</v>
      </c>
      <c r="C825" s="19" t="s">
        <v>133</v>
      </c>
      <c r="D825" s="12">
        <v>2.0</v>
      </c>
      <c r="E825" s="16">
        <v>3180.0</v>
      </c>
      <c r="F825" s="8" t="s">
        <v>10</v>
      </c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3">
        <v>45553.0</v>
      </c>
      <c r="B826" s="19" t="s">
        <v>582</v>
      </c>
      <c r="C826" s="19" t="s">
        <v>143</v>
      </c>
      <c r="D826" s="12">
        <v>2.0</v>
      </c>
      <c r="E826" s="16">
        <v>3200.0</v>
      </c>
      <c r="F826" s="8" t="s">
        <v>10</v>
      </c>
      <c r="G826" s="35">
        <v>45558.0</v>
      </c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3">
        <v>45555.0</v>
      </c>
      <c r="B827" s="19" t="s">
        <v>479</v>
      </c>
      <c r="C827" s="19" t="s">
        <v>9</v>
      </c>
      <c r="D827" s="12">
        <v>2.0</v>
      </c>
      <c r="E827" s="16">
        <v>2400.0</v>
      </c>
      <c r="F827" s="8" t="s">
        <v>10</v>
      </c>
      <c r="G827" s="35">
        <v>45556.0</v>
      </c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3">
        <v>45555.0</v>
      </c>
      <c r="B828" s="19" t="s">
        <v>32</v>
      </c>
      <c r="C828" s="19" t="s">
        <v>583</v>
      </c>
      <c r="D828" s="12">
        <v>4.0</v>
      </c>
      <c r="E828" s="16">
        <v>2800.0</v>
      </c>
      <c r="F828" s="8" t="s">
        <v>10</v>
      </c>
      <c r="G828" s="35">
        <v>45555.0</v>
      </c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34">
        <v>45562.0</v>
      </c>
      <c r="B829" s="19" t="s">
        <v>584</v>
      </c>
      <c r="C829" s="19" t="s">
        <v>322</v>
      </c>
      <c r="D829" s="12">
        <v>4.0</v>
      </c>
      <c r="E829" s="24">
        <v>4920.0</v>
      </c>
      <c r="F829" s="25" t="s">
        <v>10</v>
      </c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34">
        <v>45574.0</v>
      </c>
      <c r="B830" s="19" t="s">
        <v>585</v>
      </c>
      <c r="C830" s="19" t="s">
        <v>322</v>
      </c>
      <c r="D830" s="12">
        <v>1.0</v>
      </c>
      <c r="E830" s="24">
        <v>450.0</v>
      </c>
      <c r="F830" s="25" t="s">
        <v>10</v>
      </c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3">
        <v>45575.0</v>
      </c>
      <c r="B831" s="19" t="s">
        <v>529</v>
      </c>
      <c r="C831" s="19" t="s">
        <v>322</v>
      </c>
      <c r="D831" s="12">
        <v>4.0</v>
      </c>
      <c r="E831" s="24">
        <v>2360.0</v>
      </c>
      <c r="F831" s="25" t="s">
        <v>10</v>
      </c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3">
        <v>45583.0</v>
      </c>
      <c r="B832" s="19" t="s">
        <v>586</v>
      </c>
      <c r="C832" s="19" t="s">
        <v>322</v>
      </c>
      <c r="D832" s="12">
        <v>2.0</v>
      </c>
      <c r="E832" s="24">
        <v>1040.0</v>
      </c>
      <c r="F832" s="25" t="s">
        <v>10</v>
      </c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3">
        <v>45589.0</v>
      </c>
      <c r="B833" s="19" t="s">
        <v>586</v>
      </c>
      <c r="C833" s="19" t="s">
        <v>322</v>
      </c>
      <c r="D833" s="12">
        <v>4.0</v>
      </c>
      <c r="E833" s="24">
        <v>2080.0</v>
      </c>
      <c r="F833" s="25" t="s">
        <v>10</v>
      </c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34">
        <v>45598.0</v>
      </c>
      <c r="B834" s="19" t="s">
        <v>347</v>
      </c>
      <c r="C834" s="19" t="s">
        <v>325</v>
      </c>
      <c r="D834" s="12">
        <v>2.0</v>
      </c>
      <c r="E834" s="24">
        <v>2160.0</v>
      </c>
      <c r="F834" s="25" t="s">
        <v>10</v>
      </c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34">
        <v>45600.0</v>
      </c>
      <c r="B835" s="19" t="s">
        <v>493</v>
      </c>
      <c r="C835" s="19" t="s">
        <v>325</v>
      </c>
      <c r="D835" s="12">
        <v>2.0</v>
      </c>
      <c r="E835" s="24">
        <v>2160.0</v>
      </c>
      <c r="F835" s="25" t="s">
        <v>10</v>
      </c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34">
        <v>45604.0</v>
      </c>
      <c r="B836" s="19" t="s">
        <v>586</v>
      </c>
      <c r="C836" s="19" t="s">
        <v>322</v>
      </c>
      <c r="D836" s="12">
        <v>2.0</v>
      </c>
      <c r="E836" s="24">
        <v>1020.0</v>
      </c>
      <c r="F836" s="25" t="s">
        <v>10</v>
      </c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3">
        <v>45622.0</v>
      </c>
      <c r="B837" s="19" t="s">
        <v>75</v>
      </c>
      <c r="C837" s="19" t="s">
        <v>325</v>
      </c>
      <c r="D837" s="12">
        <v>4.0</v>
      </c>
      <c r="E837" s="24">
        <v>3400.0</v>
      </c>
      <c r="F837" s="25" t="s">
        <v>10</v>
      </c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3">
        <v>45637.0</v>
      </c>
      <c r="B838" s="19" t="s">
        <v>587</v>
      </c>
      <c r="C838" s="19" t="s">
        <v>143</v>
      </c>
      <c r="D838" s="12">
        <v>2.0</v>
      </c>
      <c r="E838" s="24">
        <v>2100.0</v>
      </c>
      <c r="F838" s="25" t="s">
        <v>10</v>
      </c>
      <c r="G838" s="38">
        <v>45688.0</v>
      </c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3">
        <v>45639.0</v>
      </c>
      <c r="B839" s="19" t="s">
        <v>588</v>
      </c>
      <c r="C839" s="19" t="s">
        <v>325</v>
      </c>
      <c r="D839" s="12">
        <v>2.0</v>
      </c>
      <c r="E839" s="24">
        <v>2660.0</v>
      </c>
      <c r="F839" s="25" t="s">
        <v>10</v>
      </c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3">
        <v>45640.0</v>
      </c>
      <c r="B840" s="19" t="s">
        <v>589</v>
      </c>
      <c r="C840" s="19" t="s">
        <v>143</v>
      </c>
      <c r="D840" s="12">
        <v>1.0</v>
      </c>
      <c r="E840" s="24">
        <v>1050.0</v>
      </c>
      <c r="F840" s="25" t="s">
        <v>10</v>
      </c>
      <c r="G840" s="38">
        <v>45688.0</v>
      </c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3">
        <v>45642.0</v>
      </c>
      <c r="B841" s="19" t="s">
        <v>590</v>
      </c>
      <c r="C841" s="19" t="s">
        <v>325</v>
      </c>
      <c r="D841" s="12">
        <v>1.0</v>
      </c>
      <c r="E841" s="24">
        <v>1700.0</v>
      </c>
      <c r="F841" s="25" t="s">
        <v>10</v>
      </c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3">
        <v>45645.0</v>
      </c>
      <c r="B842" s="19" t="s">
        <v>591</v>
      </c>
      <c r="C842" s="19" t="s">
        <v>143</v>
      </c>
      <c r="D842" s="12">
        <v>1.0</v>
      </c>
      <c r="E842" s="24">
        <v>1270.0</v>
      </c>
      <c r="F842" s="25" t="s">
        <v>10</v>
      </c>
      <c r="G842" s="38">
        <v>45688.0</v>
      </c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3">
        <v>45645.0</v>
      </c>
      <c r="B843" s="19" t="s">
        <v>64</v>
      </c>
      <c r="C843" s="19" t="s">
        <v>143</v>
      </c>
      <c r="D843" s="12">
        <v>4.0</v>
      </c>
      <c r="E843" s="24">
        <v>2520.0</v>
      </c>
      <c r="F843" s="25" t="s">
        <v>10</v>
      </c>
      <c r="G843" s="38">
        <v>45688.0</v>
      </c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36">
        <v>45652.0</v>
      </c>
      <c r="B844" s="33" t="s">
        <v>514</v>
      </c>
      <c r="C844" s="33" t="s">
        <v>143</v>
      </c>
      <c r="D844" s="29">
        <v>4.0</v>
      </c>
      <c r="E844" s="39">
        <v>4000.0</v>
      </c>
      <c r="F844" s="25" t="s">
        <v>10</v>
      </c>
      <c r="G844" s="38">
        <v>45688.0</v>
      </c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36">
        <v>45654.0</v>
      </c>
      <c r="B845" s="33" t="s">
        <v>592</v>
      </c>
      <c r="C845" s="33" t="s">
        <v>143</v>
      </c>
      <c r="D845" s="29">
        <v>1.0</v>
      </c>
      <c r="E845" s="39">
        <v>2200.0</v>
      </c>
      <c r="F845" s="25" t="s">
        <v>10</v>
      </c>
      <c r="G845" s="38">
        <v>45688.0</v>
      </c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3" t="s">
        <v>593</v>
      </c>
      <c r="B846" s="19" t="s">
        <v>594</v>
      </c>
      <c r="C846" s="19" t="s">
        <v>156</v>
      </c>
      <c r="D846" s="12">
        <v>2.0</v>
      </c>
      <c r="E846" s="16">
        <v>1415.0</v>
      </c>
      <c r="F846" s="8" t="s">
        <v>10</v>
      </c>
      <c r="G846" s="9">
        <v>45457.0</v>
      </c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3" t="s">
        <v>595</v>
      </c>
      <c r="B847" s="19" t="s">
        <v>596</v>
      </c>
      <c r="C847" s="19" t="s">
        <v>159</v>
      </c>
      <c r="D847" s="12">
        <v>2.0</v>
      </c>
      <c r="E847" s="16">
        <v>2720.0</v>
      </c>
      <c r="F847" s="8" t="s">
        <v>10</v>
      </c>
      <c r="G847" s="9">
        <v>45489.0</v>
      </c>
      <c r="H847" s="8" t="s">
        <v>597</v>
      </c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34">
        <v>45558.0</v>
      </c>
      <c r="B848" s="19" t="s">
        <v>598</v>
      </c>
      <c r="C848" s="19" t="s">
        <v>143</v>
      </c>
      <c r="D848" s="12">
        <v>2.0</v>
      </c>
      <c r="E848" s="16">
        <v>2700.0</v>
      </c>
      <c r="F848" s="8" t="s">
        <v>10</v>
      </c>
      <c r="G848" s="9">
        <v>45608.0</v>
      </c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34">
        <v>45558.0</v>
      </c>
      <c r="B849" s="19" t="s">
        <v>579</v>
      </c>
      <c r="C849" s="19" t="s">
        <v>138</v>
      </c>
      <c r="D849" s="12">
        <v>4.0</v>
      </c>
      <c r="E849" s="24">
        <v>5700.0</v>
      </c>
      <c r="F849" s="8" t="s">
        <v>10</v>
      </c>
      <c r="G849" s="9">
        <v>45575.0</v>
      </c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34">
        <v>45559.0</v>
      </c>
      <c r="B850" s="19" t="s">
        <v>599</v>
      </c>
      <c r="C850" s="19" t="s">
        <v>156</v>
      </c>
      <c r="D850" s="12">
        <v>2.0</v>
      </c>
      <c r="E850" s="16">
        <v>1823.0</v>
      </c>
      <c r="F850" s="8" t="s">
        <v>10</v>
      </c>
      <c r="G850" s="35">
        <v>45559.0</v>
      </c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34">
        <v>45559.0</v>
      </c>
      <c r="B851" s="19" t="s">
        <v>600</v>
      </c>
      <c r="C851" s="19" t="s">
        <v>143</v>
      </c>
      <c r="D851" s="12">
        <v>2.0</v>
      </c>
      <c r="E851" s="16">
        <v>2800.0</v>
      </c>
      <c r="F851" s="8" t="s">
        <v>10</v>
      </c>
      <c r="G851" s="35">
        <v>45560.0</v>
      </c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34">
        <v>45559.0</v>
      </c>
      <c r="B852" s="19" t="s">
        <v>601</v>
      </c>
      <c r="C852" s="19" t="s">
        <v>504</v>
      </c>
      <c r="D852" s="12">
        <v>10.0</v>
      </c>
      <c r="E852" s="16">
        <v>6984.0</v>
      </c>
      <c r="F852" s="8" t="s">
        <v>10</v>
      </c>
      <c r="G852" s="35">
        <v>45560.0</v>
      </c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34">
        <v>45559.0</v>
      </c>
      <c r="B853" s="19" t="s">
        <v>19</v>
      </c>
      <c r="C853" s="19" t="s">
        <v>126</v>
      </c>
      <c r="D853" s="12">
        <v>2.0</v>
      </c>
      <c r="E853" s="24">
        <v>2660.0</v>
      </c>
      <c r="F853" s="8" t="s">
        <v>10</v>
      </c>
      <c r="G853" s="35">
        <v>45630.0</v>
      </c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34">
        <v>45560.0</v>
      </c>
      <c r="B854" s="19" t="s">
        <v>602</v>
      </c>
      <c r="C854" s="19" t="s">
        <v>138</v>
      </c>
      <c r="D854" s="12">
        <v>4.0</v>
      </c>
      <c r="E854" s="24">
        <v>4600.0</v>
      </c>
      <c r="F854" s="8" t="s">
        <v>10</v>
      </c>
      <c r="G854" s="9">
        <v>45575.0</v>
      </c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34">
        <v>45560.0</v>
      </c>
      <c r="B855" s="19" t="s">
        <v>19</v>
      </c>
      <c r="C855" s="19" t="s">
        <v>126</v>
      </c>
      <c r="D855" s="12">
        <v>2.0</v>
      </c>
      <c r="E855" s="24">
        <v>2660.0</v>
      </c>
      <c r="F855" s="8" t="s">
        <v>10</v>
      </c>
      <c r="G855" s="35">
        <v>45630.0</v>
      </c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34">
        <v>45560.0</v>
      </c>
      <c r="B856" s="19" t="s">
        <v>603</v>
      </c>
      <c r="C856" s="19" t="s">
        <v>136</v>
      </c>
      <c r="D856" s="12">
        <v>1.0</v>
      </c>
      <c r="E856" s="16">
        <v>920.0</v>
      </c>
      <c r="F856" s="8" t="s">
        <v>10</v>
      </c>
      <c r="G856" s="35">
        <v>45561.0</v>
      </c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34">
        <v>45562.0</v>
      </c>
      <c r="B857" s="19" t="s">
        <v>139</v>
      </c>
      <c r="C857" s="19" t="s">
        <v>133</v>
      </c>
      <c r="D857" s="12">
        <v>4.0</v>
      </c>
      <c r="E857" s="16">
        <v>3000.0</v>
      </c>
      <c r="F857" s="8" t="s">
        <v>10</v>
      </c>
      <c r="G857" s="35">
        <v>45563.0</v>
      </c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34">
        <v>45562.0</v>
      </c>
      <c r="B858" s="19" t="s">
        <v>354</v>
      </c>
      <c r="C858" s="19" t="s">
        <v>126</v>
      </c>
      <c r="D858" s="12">
        <v>4.0</v>
      </c>
      <c r="E858" s="24">
        <v>3080.0</v>
      </c>
      <c r="F858" s="8" t="s">
        <v>10</v>
      </c>
      <c r="G858" s="35">
        <v>45630.0</v>
      </c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34">
        <v>45562.0</v>
      </c>
      <c r="B859" s="19" t="s">
        <v>286</v>
      </c>
      <c r="C859" s="19" t="s">
        <v>133</v>
      </c>
      <c r="D859" s="12">
        <v>4.0</v>
      </c>
      <c r="E859" s="24">
        <v>2600.0</v>
      </c>
      <c r="F859" s="8" t="s">
        <v>10</v>
      </c>
      <c r="G859" s="35">
        <v>45596.0</v>
      </c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34">
        <v>45562.0</v>
      </c>
      <c r="B860" s="19" t="s">
        <v>104</v>
      </c>
      <c r="C860" s="19" t="s">
        <v>138</v>
      </c>
      <c r="D860" s="12">
        <v>2.0</v>
      </c>
      <c r="E860" s="16">
        <v>2000.0</v>
      </c>
      <c r="F860" s="8" t="s">
        <v>10</v>
      </c>
      <c r="G860" s="9">
        <v>45575.0</v>
      </c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34">
        <v>45565.0</v>
      </c>
      <c r="B861" s="19" t="s">
        <v>604</v>
      </c>
      <c r="C861" s="19" t="s">
        <v>143</v>
      </c>
      <c r="D861" s="12">
        <v>2.0</v>
      </c>
      <c r="E861" s="16">
        <v>3200.0</v>
      </c>
      <c r="F861" s="8" t="s">
        <v>10</v>
      </c>
      <c r="G861" s="9">
        <v>45608.0</v>
      </c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34">
        <v>45566.0</v>
      </c>
      <c r="B862" s="19" t="s">
        <v>605</v>
      </c>
      <c r="C862" s="19" t="s">
        <v>156</v>
      </c>
      <c r="D862" s="12">
        <v>1.0</v>
      </c>
      <c r="E862" s="16">
        <v>1795.0</v>
      </c>
      <c r="F862" s="8" t="s">
        <v>10</v>
      </c>
      <c r="G862" s="35">
        <v>45566.0</v>
      </c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34">
        <v>45566.0</v>
      </c>
      <c r="B863" s="19" t="s">
        <v>606</v>
      </c>
      <c r="C863" s="19" t="s">
        <v>154</v>
      </c>
      <c r="D863" s="12">
        <v>2.0</v>
      </c>
      <c r="E863" s="16">
        <v>1035.0</v>
      </c>
      <c r="F863" s="8" t="s">
        <v>10</v>
      </c>
      <c r="G863" s="35">
        <v>45566.0</v>
      </c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34">
        <v>45567.0</v>
      </c>
      <c r="B864" s="19" t="s">
        <v>565</v>
      </c>
      <c r="C864" s="19" t="s">
        <v>138</v>
      </c>
      <c r="D864" s="12">
        <v>2.0</v>
      </c>
      <c r="E864" s="16">
        <v>2850.0</v>
      </c>
      <c r="F864" s="8" t="s">
        <v>10</v>
      </c>
      <c r="G864" s="9">
        <v>45581.0</v>
      </c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34">
        <v>45567.0</v>
      </c>
      <c r="B865" s="19" t="s">
        <v>551</v>
      </c>
      <c r="C865" s="19" t="s">
        <v>133</v>
      </c>
      <c r="D865" s="12">
        <v>1.0</v>
      </c>
      <c r="E865" s="24">
        <v>1100.0</v>
      </c>
      <c r="F865" s="8" t="s">
        <v>10</v>
      </c>
      <c r="G865" s="9">
        <v>45596.0</v>
      </c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34">
        <v>45567.0</v>
      </c>
      <c r="B866" s="19" t="s">
        <v>607</v>
      </c>
      <c r="C866" s="19" t="s">
        <v>9</v>
      </c>
      <c r="D866" s="12">
        <v>2.0</v>
      </c>
      <c r="E866" s="16">
        <v>2700.0</v>
      </c>
      <c r="F866" s="8" t="s">
        <v>10</v>
      </c>
      <c r="G866" s="35">
        <v>45567.0</v>
      </c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34">
        <v>45567.0</v>
      </c>
      <c r="B867" s="19" t="s">
        <v>200</v>
      </c>
      <c r="C867" s="19" t="s">
        <v>126</v>
      </c>
      <c r="D867" s="12">
        <v>1.0</v>
      </c>
      <c r="E867" s="16">
        <v>650.0</v>
      </c>
      <c r="F867" s="25" t="s">
        <v>10</v>
      </c>
      <c r="G867" s="38">
        <v>45678.0</v>
      </c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34">
        <v>45569.0</v>
      </c>
      <c r="B868" s="19" t="s">
        <v>608</v>
      </c>
      <c r="C868" s="19" t="s">
        <v>143</v>
      </c>
      <c r="D868" s="12">
        <v>2.0</v>
      </c>
      <c r="E868" s="16">
        <v>3000.0</v>
      </c>
      <c r="F868" s="8" t="s">
        <v>10</v>
      </c>
      <c r="G868" s="9">
        <v>45617.0</v>
      </c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34">
        <v>45572.0</v>
      </c>
      <c r="B869" s="19" t="s">
        <v>47</v>
      </c>
      <c r="C869" s="19" t="s">
        <v>133</v>
      </c>
      <c r="D869" s="12">
        <v>4.0</v>
      </c>
      <c r="E869" s="24">
        <v>6360.0</v>
      </c>
      <c r="F869" s="8" t="s">
        <v>10</v>
      </c>
      <c r="G869" s="9">
        <v>45596.0</v>
      </c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34">
        <v>45572.0</v>
      </c>
      <c r="B870" s="19" t="s">
        <v>609</v>
      </c>
      <c r="C870" s="19" t="s">
        <v>133</v>
      </c>
      <c r="D870" s="12">
        <v>2.0</v>
      </c>
      <c r="E870" s="16">
        <v>1040.0</v>
      </c>
      <c r="F870" s="8" t="s">
        <v>10</v>
      </c>
      <c r="G870" s="9">
        <v>45596.0</v>
      </c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34">
        <v>45573.0</v>
      </c>
      <c r="B871" s="19" t="s">
        <v>610</v>
      </c>
      <c r="C871" s="19" t="s">
        <v>138</v>
      </c>
      <c r="D871" s="12">
        <v>2.0</v>
      </c>
      <c r="E871" s="16">
        <v>3000.0</v>
      </c>
      <c r="F871" s="8" t="s">
        <v>10</v>
      </c>
      <c r="G871" s="9">
        <v>45581.0</v>
      </c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34">
        <v>45573.0</v>
      </c>
      <c r="B872" s="19" t="s">
        <v>611</v>
      </c>
      <c r="C872" s="19" t="s">
        <v>154</v>
      </c>
      <c r="D872" s="12">
        <v>1.0</v>
      </c>
      <c r="E872" s="16">
        <v>1422.0</v>
      </c>
      <c r="F872" s="8" t="s">
        <v>10</v>
      </c>
      <c r="G872" s="35">
        <v>45573.0</v>
      </c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34">
        <v>45574.0</v>
      </c>
      <c r="B873" s="19" t="s">
        <v>612</v>
      </c>
      <c r="C873" s="19" t="s">
        <v>9</v>
      </c>
      <c r="D873" s="12">
        <v>4.0</v>
      </c>
      <c r="E873" s="16">
        <v>5200.0</v>
      </c>
      <c r="F873" s="8" t="s">
        <v>10</v>
      </c>
      <c r="G873" s="35">
        <v>45574.0</v>
      </c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34">
        <v>45574.0</v>
      </c>
      <c r="B874" s="19" t="s">
        <v>613</v>
      </c>
      <c r="C874" s="19" t="s">
        <v>377</v>
      </c>
      <c r="D874" s="12">
        <v>4.0</v>
      </c>
      <c r="E874" s="16">
        <v>4000.0</v>
      </c>
      <c r="F874" s="8" t="s">
        <v>10</v>
      </c>
      <c r="G874" s="9">
        <v>45576.0</v>
      </c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3">
        <v>45575.0</v>
      </c>
      <c r="B875" s="19" t="s">
        <v>614</v>
      </c>
      <c r="C875" s="19" t="s">
        <v>9</v>
      </c>
      <c r="D875" s="12">
        <v>2.0</v>
      </c>
      <c r="E875" s="16">
        <v>3700.0</v>
      </c>
      <c r="F875" s="8" t="s">
        <v>10</v>
      </c>
      <c r="G875" s="9">
        <v>45575.0</v>
      </c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3">
        <v>45575.0</v>
      </c>
      <c r="B876" s="19" t="s">
        <v>509</v>
      </c>
      <c r="C876" s="19" t="s">
        <v>138</v>
      </c>
      <c r="D876" s="12">
        <v>2.0</v>
      </c>
      <c r="E876" s="16">
        <v>1740.0</v>
      </c>
      <c r="F876" s="8" t="s">
        <v>10</v>
      </c>
      <c r="G876" s="9">
        <v>45587.0</v>
      </c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3">
        <v>45576.0</v>
      </c>
      <c r="B877" s="19" t="s">
        <v>139</v>
      </c>
      <c r="C877" s="19" t="s">
        <v>133</v>
      </c>
      <c r="D877" s="12">
        <v>2.0</v>
      </c>
      <c r="E877" s="16">
        <v>1500.0</v>
      </c>
      <c r="F877" s="8" t="s">
        <v>10</v>
      </c>
      <c r="G877" s="9">
        <v>45596.0</v>
      </c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3">
        <v>45577.0</v>
      </c>
      <c r="B878" s="19" t="s">
        <v>615</v>
      </c>
      <c r="C878" s="19" t="s">
        <v>138</v>
      </c>
      <c r="D878" s="12">
        <v>4.0</v>
      </c>
      <c r="E878" s="16">
        <v>6800.0</v>
      </c>
      <c r="F878" s="8" t="s">
        <v>10</v>
      </c>
      <c r="G878" s="9">
        <v>45587.0</v>
      </c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3">
        <v>45579.0</v>
      </c>
      <c r="B879" s="19" t="s">
        <v>616</v>
      </c>
      <c r="C879" s="19" t="s">
        <v>138</v>
      </c>
      <c r="D879" s="12">
        <v>2.0</v>
      </c>
      <c r="E879" s="16">
        <v>1500.0</v>
      </c>
      <c r="F879" s="8" t="s">
        <v>10</v>
      </c>
      <c r="G879" s="9">
        <v>45587.0</v>
      </c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3">
        <v>45579.0</v>
      </c>
      <c r="B880" s="19" t="s">
        <v>617</v>
      </c>
      <c r="C880" s="19" t="s">
        <v>143</v>
      </c>
      <c r="D880" s="12">
        <v>1.0</v>
      </c>
      <c r="E880" s="16">
        <v>1400.0</v>
      </c>
      <c r="F880" s="8" t="s">
        <v>10</v>
      </c>
      <c r="G880" s="9">
        <v>45617.0</v>
      </c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3">
        <v>45579.0</v>
      </c>
      <c r="B881" s="19" t="s">
        <v>618</v>
      </c>
      <c r="C881" s="19" t="s">
        <v>143</v>
      </c>
      <c r="D881" s="12">
        <v>4.0</v>
      </c>
      <c r="E881" s="16">
        <v>6000.0</v>
      </c>
      <c r="F881" s="8" t="s">
        <v>10</v>
      </c>
      <c r="G881" s="9">
        <v>45617.0</v>
      </c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3">
        <v>45579.0</v>
      </c>
      <c r="B882" s="19" t="s">
        <v>271</v>
      </c>
      <c r="C882" s="19" t="s">
        <v>9</v>
      </c>
      <c r="D882" s="12">
        <v>1.0</v>
      </c>
      <c r="E882" s="16">
        <v>1050.0</v>
      </c>
      <c r="F882" s="8" t="s">
        <v>10</v>
      </c>
      <c r="G882" s="9">
        <v>45579.0</v>
      </c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3">
        <v>45579.0</v>
      </c>
      <c r="B883" s="19" t="s">
        <v>619</v>
      </c>
      <c r="C883" s="19" t="s">
        <v>154</v>
      </c>
      <c r="D883" s="12">
        <v>1.0</v>
      </c>
      <c r="E883" s="16">
        <v>2165.0</v>
      </c>
      <c r="F883" s="8" t="s">
        <v>10</v>
      </c>
      <c r="G883" s="9">
        <v>45579.0</v>
      </c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3">
        <v>45579.0</v>
      </c>
      <c r="B884" s="19" t="s">
        <v>620</v>
      </c>
      <c r="C884" s="19" t="s">
        <v>154</v>
      </c>
      <c r="D884" s="12">
        <v>2.0</v>
      </c>
      <c r="E884" s="16">
        <v>2628.0</v>
      </c>
      <c r="F884" s="8" t="s">
        <v>10</v>
      </c>
      <c r="G884" s="9">
        <v>45579.0</v>
      </c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3">
        <v>45580.0</v>
      </c>
      <c r="B885" s="19" t="s">
        <v>551</v>
      </c>
      <c r="C885" s="19" t="s">
        <v>9</v>
      </c>
      <c r="D885" s="12">
        <v>1.0</v>
      </c>
      <c r="E885" s="16">
        <v>1200.0</v>
      </c>
      <c r="F885" s="8" t="s">
        <v>10</v>
      </c>
      <c r="G885" s="9">
        <v>45580.0</v>
      </c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3">
        <v>45581.0</v>
      </c>
      <c r="B886" s="19" t="s">
        <v>239</v>
      </c>
      <c r="C886" s="19" t="s">
        <v>138</v>
      </c>
      <c r="D886" s="12">
        <v>2.0</v>
      </c>
      <c r="E886" s="16">
        <v>2150.0</v>
      </c>
      <c r="F886" s="8" t="s">
        <v>10</v>
      </c>
      <c r="G886" s="35">
        <v>45598.0</v>
      </c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3">
        <v>45583.0</v>
      </c>
      <c r="B887" s="19" t="s">
        <v>621</v>
      </c>
      <c r="C887" s="19" t="s">
        <v>154</v>
      </c>
      <c r="D887" s="12">
        <v>4.0</v>
      </c>
      <c r="E887" s="16">
        <v>5148.0</v>
      </c>
      <c r="F887" s="8" t="s">
        <v>10</v>
      </c>
      <c r="G887" s="9">
        <v>45583.0</v>
      </c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3">
        <v>45583.0</v>
      </c>
      <c r="B888" s="19" t="s">
        <v>622</v>
      </c>
      <c r="C888" s="19" t="s">
        <v>9</v>
      </c>
      <c r="D888" s="12">
        <v>2.0</v>
      </c>
      <c r="E888" s="16">
        <v>2800.0</v>
      </c>
      <c r="F888" s="8" t="s">
        <v>10</v>
      </c>
      <c r="G888" s="9">
        <v>45583.0</v>
      </c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3">
        <v>45583.0</v>
      </c>
      <c r="B889" s="19" t="s">
        <v>200</v>
      </c>
      <c r="C889" s="19" t="s">
        <v>143</v>
      </c>
      <c r="D889" s="12">
        <v>4.0</v>
      </c>
      <c r="E889" s="16">
        <v>2720.0</v>
      </c>
      <c r="F889" s="8" t="s">
        <v>10</v>
      </c>
      <c r="G889" s="9">
        <v>45617.0</v>
      </c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3">
        <v>45584.0</v>
      </c>
      <c r="B890" s="19" t="s">
        <v>623</v>
      </c>
      <c r="C890" s="19" t="s">
        <v>132</v>
      </c>
      <c r="D890" s="12">
        <v>2.0</v>
      </c>
      <c r="E890" s="16">
        <v>700.0</v>
      </c>
      <c r="F890" s="8" t="s">
        <v>10</v>
      </c>
      <c r="G890" s="9">
        <v>45584.0</v>
      </c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3">
        <v>45586.0</v>
      </c>
      <c r="B891" s="19" t="s">
        <v>529</v>
      </c>
      <c r="C891" s="19" t="s">
        <v>9</v>
      </c>
      <c r="D891" s="12">
        <v>4.0</v>
      </c>
      <c r="E891" s="16">
        <v>2360.0</v>
      </c>
      <c r="F891" s="8" t="s">
        <v>10</v>
      </c>
      <c r="G891" s="9">
        <v>45586.0</v>
      </c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3">
        <v>45586.0</v>
      </c>
      <c r="B892" s="19" t="s">
        <v>40</v>
      </c>
      <c r="C892" s="19" t="s">
        <v>9</v>
      </c>
      <c r="D892" s="12">
        <v>2.0</v>
      </c>
      <c r="E892" s="16">
        <v>3400.0</v>
      </c>
      <c r="F892" s="8" t="s">
        <v>10</v>
      </c>
      <c r="G892" s="9">
        <v>45586.0</v>
      </c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3">
        <v>45587.0</v>
      </c>
      <c r="B893" s="19" t="s">
        <v>237</v>
      </c>
      <c r="C893" s="19" t="s">
        <v>136</v>
      </c>
      <c r="D893" s="12">
        <v>4.0</v>
      </c>
      <c r="E893" s="16">
        <v>3320.0</v>
      </c>
      <c r="F893" s="8" t="s">
        <v>10</v>
      </c>
      <c r="G893" s="9">
        <v>45587.0</v>
      </c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13">
        <v>45587.0</v>
      </c>
      <c r="B894" s="19" t="s">
        <v>624</v>
      </c>
      <c r="C894" s="19" t="s">
        <v>128</v>
      </c>
      <c r="D894" s="12">
        <v>1.0</v>
      </c>
      <c r="E894" s="16">
        <v>1778.0</v>
      </c>
      <c r="F894" s="8" t="s">
        <v>10</v>
      </c>
      <c r="G894" s="9">
        <v>45587.0</v>
      </c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13">
        <v>45588.0</v>
      </c>
      <c r="B895" s="19" t="s">
        <v>625</v>
      </c>
      <c r="C895" s="19" t="s">
        <v>154</v>
      </c>
      <c r="D895" s="12">
        <v>1.0</v>
      </c>
      <c r="E895" s="16">
        <v>1340.0</v>
      </c>
      <c r="F895" s="8" t="s">
        <v>10</v>
      </c>
      <c r="G895" s="9">
        <v>45588.0</v>
      </c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13">
        <v>45588.0</v>
      </c>
      <c r="B896" s="19" t="s">
        <v>618</v>
      </c>
      <c r="C896" s="19" t="s">
        <v>143</v>
      </c>
      <c r="D896" s="12">
        <v>2.0</v>
      </c>
      <c r="E896" s="16">
        <v>3000.0</v>
      </c>
      <c r="F896" s="8" t="s">
        <v>10</v>
      </c>
      <c r="G896" s="9">
        <v>44521.0</v>
      </c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13">
        <v>45588.0</v>
      </c>
      <c r="B897" s="19" t="s">
        <v>626</v>
      </c>
      <c r="C897" s="19" t="s">
        <v>9</v>
      </c>
      <c r="D897" s="12">
        <v>4.0</v>
      </c>
      <c r="E897" s="16">
        <v>5200.0</v>
      </c>
      <c r="F897" s="8" t="s">
        <v>10</v>
      </c>
      <c r="G897" s="9">
        <v>45588.0</v>
      </c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13">
        <v>45589.0</v>
      </c>
      <c r="B898" s="19" t="s">
        <v>258</v>
      </c>
      <c r="C898" s="19" t="s">
        <v>138</v>
      </c>
      <c r="D898" s="12">
        <v>2.0</v>
      </c>
      <c r="E898" s="16">
        <v>940.0</v>
      </c>
      <c r="F898" s="8" t="s">
        <v>10</v>
      </c>
      <c r="G898" s="35">
        <v>45598.0</v>
      </c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13">
        <v>45590.0</v>
      </c>
      <c r="B899" s="19" t="s">
        <v>627</v>
      </c>
      <c r="C899" s="19" t="s">
        <v>143</v>
      </c>
      <c r="D899" s="12">
        <v>2.0</v>
      </c>
      <c r="E899" s="16">
        <v>4200.0</v>
      </c>
      <c r="F899" s="8" t="s">
        <v>10</v>
      </c>
      <c r="G899" s="9">
        <v>45617.0</v>
      </c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13">
        <v>45590.0</v>
      </c>
      <c r="B900" s="19" t="s">
        <v>16</v>
      </c>
      <c r="C900" s="19" t="s">
        <v>133</v>
      </c>
      <c r="D900" s="12">
        <v>1.0</v>
      </c>
      <c r="E900" s="16">
        <v>1100.0</v>
      </c>
      <c r="F900" s="8" t="s">
        <v>10</v>
      </c>
      <c r="G900" s="9">
        <v>45596.0</v>
      </c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13">
        <v>45593.0</v>
      </c>
      <c r="B901" s="19" t="s">
        <v>628</v>
      </c>
      <c r="C901" s="19" t="s">
        <v>9</v>
      </c>
      <c r="D901" s="12">
        <v>6.0</v>
      </c>
      <c r="E901" s="16">
        <v>5520.0</v>
      </c>
      <c r="F901" s="8" t="s">
        <v>10</v>
      </c>
      <c r="G901" s="9">
        <v>45593.0</v>
      </c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13">
        <v>45593.0</v>
      </c>
      <c r="B902" s="19" t="s">
        <v>629</v>
      </c>
      <c r="C902" s="19" t="s">
        <v>138</v>
      </c>
      <c r="D902" s="12">
        <v>4.0</v>
      </c>
      <c r="E902" s="16">
        <v>2040.0</v>
      </c>
      <c r="F902" s="8" t="s">
        <v>10</v>
      </c>
      <c r="G902" s="35">
        <v>45598.0</v>
      </c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13">
        <v>45593.0</v>
      </c>
      <c r="B903" s="19" t="s">
        <v>630</v>
      </c>
      <c r="C903" s="19" t="s">
        <v>154</v>
      </c>
      <c r="D903" s="12">
        <v>1.0</v>
      </c>
      <c r="E903" s="16">
        <v>1769.0</v>
      </c>
      <c r="F903" s="8" t="s">
        <v>10</v>
      </c>
      <c r="G903" s="9">
        <v>45593.0</v>
      </c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13">
        <v>45593.0</v>
      </c>
      <c r="B904" s="19" t="s">
        <v>11</v>
      </c>
      <c r="C904" s="19" t="s">
        <v>133</v>
      </c>
      <c r="D904" s="12">
        <v>2.0</v>
      </c>
      <c r="E904" s="16">
        <v>3300.0</v>
      </c>
      <c r="F904" s="8" t="s">
        <v>10</v>
      </c>
      <c r="G904" s="9">
        <v>45596.0</v>
      </c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13">
        <v>45593.0</v>
      </c>
      <c r="B905" s="19" t="s">
        <v>55</v>
      </c>
      <c r="C905" s="19" t="s">
        <v>133</v>
      </c>
      <c r="D905" s="12">
        <v>1.0</v>
      </c>
      <c r="E905" s="16">
        <v>1100.0</v>
      </c>
      <c r="F905" s="8" t="s">
        <v>10</v>
      </c>
      <c r="G905" s="9">
        <v>45594.0</v>
      </c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13">
        <v>45594.0</v>
      </c>
      <c r="B906" s="19" t="s">
        <v>470</v>
      </c>
      <c r="C906" s="19" t="s">
        <v>9</v>
      </c>
      <c r="D906" s="12">
        <v>1.0</v>
      </c>
      <c r="E906" s="16">
        <v>530.0</v>
      </c>
      <c r="F906" s="8" t="s">
        <v>10</v>
      </c>
      <c r="G906" s="9">
        <v>45594.0</v>
      </c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13">
        <v>45594.0</v>
      </c>
      <c r="B907" s="19" t="s">
        <v>631</v>
      </c>
      <c r="C907" s="19" t="s">
        <v>133</v>
      </c>
      <c r="D907" s="12">
        <v>1.0</v>
      </c>
      <c r="E907" s="16">
        <v>1600.0</v>
      </c>
      <c r="F907" s="8" t="s">
        <v>10</v>
      </c>
      <c r="G907" s="9">
        <v>45596.0</v>
      </c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13">
        <v>45594.0</v>
      </c>
      <c r="B908" s="19" t="s">
        <v>632</v>
      </c>
      <c r="C908" s="19" t="s">
        <v>126</v>
      </c>
      <c r="D908" s="12">
        <v>2.0</v>
      </c>
      <c r="E908" s="16">
        <v>1540.0</v>
      </c>
      <c r="F908" s="25" t="s">
        <v>10</v>
      </c>
      <c r="G908" s="38">
        <v>45678.0</v>
      </c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13">
        <v>45595.0</v>
      </c>
      <c r="B909" s="19" t="s">
        <v>633</v>
      </c>
      <c r="C909" s="19" t="s">
        <v>133</v>
      </c>
      <c r="D909" s="12">
        <v>2.0</v>
      </c>
      <c r="E909" s="16">
        <v>2700.0</v>
      </c>
      <c r="F909" s="8" t="s">
        <v>10</v>
      </c>
      <c r="G909" s="9">
        <v>45596.0</v>
      </c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13">
        <v>45595.0</v>
      </c>
      <c r="B910" s="19" t="s">
        <v>415</v>
      </c>
      <c r="C910" s="19" t="s">
        <v>133</v>
      </c>
      <c r="D910" s="12">
        <v>1.0</v>
      </c>
      <c r="E910" s="16">
        <v>1200.0</v>
      </c>
      <c r="F910" s="8" t="s">
        <v>10</v>
      </c>
      <c r="G910" s="9">
        <v>45596.0</v>
      </c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13">
        <v>45595.0</v>
      </c>
      <c r="B911" s="19" t="s">
        <v>529</v>
      </c>
      <c r="C911" s="19" t="s">
        <v>9</v>
      </c>
      <c r="D911" s="12">
        <v>2.0</v>
      </c>
      <c r="E911" s="16">
        <v>1180.0</v>
      </c>
      <c r="F911" s="8" t="s">
        <v>10</v>
      </c>
      <c r="G911" s="9">
        <v>45595.0</v>
      </c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13">
        <v>45595.0</v>
      </c>
      <c r="B912" s="19" t="s">
        <v>634</v>
      </c>
      <c r="C912" s="19" t="s">
        <v>9</v>
      </c>
      <c r="D912" s="12">
        <v>1.0</v>
      </c>
      <c r="E912" s="16">
        <v>470.0</v>
      </c>
      <c r="F912" s="8" t="s">
        <v>10</v>
      </c>
      <c r="G912" s="9">
        <v>45596.0</v>
      </c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13">
        <v>45596.0</v>
      </c>
      <c r="B913" s="19" t="s">
        <v>635</v>
      </c>
      <c r="C913" s="19" t="s">
        <v>138</v>
      </c>
      <c r="D913" s="12">
        <v>2.0</v>
      </c>
      <c r="E913" s="16">
        <v>1500.0</v>
      </c>
      <c r="F913" s="8" t="s">
        <v>10</v>
      </c>
      <c r="G913" s="35">
        <v>45598.0</v>
      </c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13">
        <v>45596.0</v>
      </c>
      <c r="B914" s="19" t="s">
        <v>13</v>
      </c>
      <c r="C914" s="19" t="s">
        <v>143</v>
      </c>
      <c r="D914" s="12">
        <v>2.0</v>
      </c>
      <c r="E914" s="19">
        <v>2800.0</v>
      </c>
      <c r="F914" s="8" t="s">
        <v>10</v>
      </c>
      <c r="G914" s="9">
        <v>45617.0</v>
      </c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13">
        <v>45596.0</v>
      </c>
      <c r="B915" s="19" t="s">
        <v>273</v>
      </c>
      <c r="C915" s="19" t="s">
        <v>126</v>
      </c>
      <c r="D915" s="12">
        <v>2.0</v>
      </c>
      <c r="E915" s="16">
        <v>1600.0</v>
      </c>
      <c r="F915" s="25" t="s">
        <v>10</v>
      </c>
      <c r="G915" s="38">
        <v>45678.0</v>
      </c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34">
        <v>45597.0</v>
      </c>
      <c r="B916" s="19" t="s">
        <v>636</v>
      </c>
      <c r="C916" s="19" t="s">
        <v>9</v>
      </c>
      <c r="D916" s="12">
        <v>1.0</v>
      </c>
      <c r="E916" s="16">
        <v>1800.0</v>
      </c>
      <c r="F916" s="8" t="s">
        <v>10</v>
      </c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34">
        <v>45597.0</v>
      </c>
      <c r="B917" s="19" t="s">
        <v>61</v>
      </c>
      <c r="C917" s="19" t="s">
        <v>148</v>
      </c>
      <c r="D917" s="12">
        <v>1.0</v>
      </c>
      <c r="E917" s="16">
        <v>600.0</v>
      </c>
      <c r="F917" s="8" t="s">
        <v>10</v>
      </c>
      <c r="G917" s="35">
        <v>45597.0</v>
      </c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34">
        <v>45597.0</v>
      </c>
      <c r="B918" s="19" t="s">
        <v>637</v>
      </c>
      <c r="C918" s="19" t="s">
        <v>126</v>
      </c>
      <c r="D918" s="12">
        <v>1.0</v>
      </c>
      <c r="E918" s="16">
        <v>800.0</v>
      </c>
      <c r="F918" s="25" t="s">
        <v>10</v>
      </c>
      <c r="G918" s="38">
        <v>45678.0</v>
      </c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34">
        <v>45598.0</v>
      </c>
      <c r="B919" s="19" t="s">
        <v>638</v>
      </c>
      <c r="C919" s="19" t="s">
        <v>138</v>
      </c>
      <c r="D919" s="12">
        <v>1.0</v>
      </c>
      <c r="E919" s="16">
        <v>575.0</v>
      </c>
      <c r="F919" s="8" t="s">
        <v>10</v>
      </c>
      <c r="G919" s="35">
        <v>45628.0</v>
      </c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34">
        <v>45598.0</v>
      </c>
      <c r="B920" s="19" t="s">
        <v>639</v>
      </c>
      <c r="C920" s="19" t="s">
        <v>138</v>
      </c>
      <c r="D920" s="12">
        <v>2.0</v>
      </c>
      <c r="E920" s="16">
        <v>1800.0</v>
      </c>
      <c r="F920" s="8" t="s">
        <v>10</v>
      </c>
      <c r="G920" s="35">
        <v>45628.0</v>
      </c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34">
        <v>45598.0</v>
      </c>
      <c r="B921" s="19" t="s">
        <v>493</v>
      </c>
      <c r="C921" s="19" t="s">
        <v>133</v>
      </c>
      <c r="D921" s="12">
        <v>1.0</v>
      </c>
      <c r="E921" s="16">
        <v>1100.0</v>
      </c>
      <c r="F921" s="8" t="s">
        <v>10</v>
      </c>
      <c r="G921" s="35">
        <v>45598.0</v>
      </c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34">
        <v>45600.0</v>
      </c>
      <c r="B922" s="19" t="s">
        <v>369</v>
      </c>
      <c r="C922" s="19" t="s">
        <v>143</v>
      </c>
      <c r="D922" s="12">
        <v>4.0</v>
      </c>
      <c r="E922" s="16">
        <v>2800.0</v>
      </c>
      <c r="F922" s="25" t="s">
        <v>10</v>
      </c>
      <c r="G922" s="26">
        <v>45654.0</v>
      </c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34">
        <v>45600.0</v>
      </c>
      <c r="B923" s="19" t="s">
        <v>640</v>
      </c>
      <c r="C923" s="19" t="s">
        <v>325</v>
      </c>
      <c r="D923" s="12">
        <v>2.0</v>
      </c>
      <c r="E923" s="16">
        <v>3700.0</v>
      </c>
      <c r="F923" s="25" t="s">
        <v>10</v>
      </c>
      <c r="G923" s="38">
        <v>45601.0</v>
      </c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34">
        <v>45601.0</v>
      </c>
      <c r="B924" s="19" t="s">
        <v>641</v>
      </c>
      <c r="C924" s="19" t="s">
        <v>133</v>
      </c>
      <c r="D924" s="12">
        <v>1.0</v>
      </c>
      <c r="E924" s="16">
        <v>950.0</v>
      </c>
      <c r="F924" s="8" t="s">
        <v>10</v>
      </c>
      <c r="G924" s="9">
        <v>45623.0</v>
      </c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34">
        <v>45603.0</v>
      </c>
      <c r="B925" s="19" t="s">
        <v>642</v>
      </c>
      <c r="C925" s="19" t="s">
        <v>9</v>
      </c>
      <c r="D925" s="12">
        <v>2.0</v>
      </c>
      <c r="E925" s="16">
        <v>3700.0</v>
      </c>
      <c r="F925" s="8" t="s">
        <v>10</v>
      </c>
      <c r="G925" s="35">
        <v>45603.0</v>
      </c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34">
        <v>45603.0</v>
      </c>
      <c r="B926" s="19" t="s">
        <v>643</v>
      </c>
      <c r="C926" s="19" t="s">
        <v>83</v>
      </c>
      <c r="D926" s="12">
        <v>1.0</v>
      </c>
      <c r="E926" s="16">
        <v>2500.0</v>
      </c>
      <c r="F926" s="8" t="s">
        <v>10</v>
      </c>
      <c r="G926" s="35">
        <v>45603.0</v>
      </c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34">
        <v>45604.0</v>
      </c>
      <c r="B927" s="19" t="s">
        <v>215</v>
      </c>
      <c r="C927" s="19" t="s">
        <v>138</v>
      </c>
      <c r="D927" s="12">
        <v>2.0</v>
      </c>
      <c r="E927" s="16">
        <v>2850.0</v>
      </c>
      <c r="F927" s="8" t="s">
        <v>10</v>
      </c>
      <c r="G927" s="35">
        <v>45628.0</v>
      </c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34">
        <v>45604.0</v>
      </c>
      <c r="B928" s="19" t="s">
        <v>415</v>
      </c>
      <c r="C928" s="19" t="s">
        <v>133</v>
      </c>
      <c r="D928" s="12">
        <v>2.0</v>
      </c>
      <c r="E928" s="16">
        <v>2400.0</v>
      </c>
      <c r="F928" s="8" t="s">
        <v>10</v>
      </c>
      <c r="G928" s="35">
        <v>45604.0</v>
      </c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34">
        <v>45604.0</v>
      </c>
      <c r="B929" s="19" t="s">
        <v>64</v>
      </c>
      <c r="C929" s="19" t="s">
        <v>143</v>
      </c>
      <c r="D929" s="12">
        <v>2.0</v>
      </c>
      <c r="E929" s="16">
        <v>1260.0</v>
      </c>
      <c r="F929" s="25" t="s">
        <v>10</v>
      </c>
      <c r="G929" s="26">
        <v>45654.0</v>
      </c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3">
        <v>45607.0</v>
      </c>
      <c r="B930" s="19" t="s">
        <v>644</v>
      </c>
      <c r="C930" s="19" t="s">
        <v>9</v>
      </c>
      <c r="D930" s="12">
        <v>2.0</v>
      </c>
      <c r="E930" s="16">
        <v>2700.0</v>
      </c>
      <c r="F930" s="8" t="s">
        <v>10</v>
      </c>
      <c r="G930" s="9">
        <v>45607.0</v>
      </c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3">
        <v>45607.0</v>
      </c>
      <c r="B931" s="19" t="s">
        <v>645</v>
      </c>
      <c r="C931" s="19" t="s">
        <v>143</v>
      </c>
      <c r="D931" s="12">
        <v>2.0</v>
      </c>
      <c r="E931" s="16">
        <v>3100.0</v>
      </c>
      <c r="F931" s="25" t="s">
        <v>10</v>
      </c>
      <c r="G931" s="26">
        <v>45654.0</v>
      </c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3">
        <v>45607.0</v>
      </c>
      <c r="B932" s="19" t="s">
        <v>270</v>
      </c>
      <c r="C932" s="19" t="s">
        <v>133</v>
      </c>
      <c r="D932" s="12">
        <v>2.0</v>
      </c>
      <c r="E932" s="16">
        <v>1300.0</v>
      </c>
      <c r="F932" s="8" t="s">
        <v>10</v>
      </c>
      <c r="G932" s="9">
        <v>45623.0</v>
      </c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3">
        <v>45607.0</v>
      </c>
      <c r="B933" s="19" t="s">
        <v>646</v>
      </c>
      <c r="C933" s="19" t="s">
        <v>128</v>
      </c>
      <c r="D933" s="12">
        <v>2.0</v>
      </c>
      <c r="E933" s="16">
        <v>1785.0</v>
      </c>
      <c r="F933" s="8" t="s">
        <v>10</v>
      </c>
      <c r="G933" s="9">
        <v>45608.0</v>
      </c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3">
        <v>45608.0</v>
      </c>
      <c r="B934" s="19" t="s">
        <v>647</v>
      </c>
      <c r="C934" s="19" t="s">
        <v>9</v>
      </c>
      <c r="D934" s="12">
        <v>1.0</v>
      </c>
      <c r="E934" s="16">
        <v>800.0</v>
      </c>
      <c r="F934" s="8" t="s">
        <v>10</v>
      </c>
      <c r="G934" s="9">
        <v>45608.0</v>
      </c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3">
        <v>45608.0</v>
      </c>
      <c r="B935" s="19" t="s">
        <v>648</v>
      </c>
      <c r="C935" s="19" t="s">
        <v>143</v>
      </c>
      <c r="D935" s="12">
        <v>1.0</v>
      </c>
      <c r="E935" s="16">
        <v>2400.0</v>
      </c>
      <c r="F935" s="25" t="s">
        <v>10</v>
      </c>
      <c r="G935" s="26">
        <v>45654.0</v>
      </c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3">
        <v>45608.0</v>
      </c>
      <c r="B936" s="19" t="s">
        <v>441</v>
      </c>
      <c r="C936" s="19" t="s">
        <v>9</v>
      </c>
      <c r="D936" s="12">
        <v>1.0</v>
      </c>
      <c r="E936" s="16">
        <v>2450.0</v>
      </c>
      <c r="F936" s="8" t="s">
        <v>10</v>
      </c>
      <c r="G936" s="9">
        <v>45608.0</v>
      </c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3">
        <v>45610.0</v>
      </c>
      <c r="B937" s="19" t="s">
        <v>649</v>
      </c>
      <c r="C937" s="19" t="s">
        <v>83</v>
      </c>
      <c r="D937" s="12">
        <v>2.0</v>
      </c>
      <c r="E937" s="16">
        <v>4300.0</v>
      </c>
      <c r="F937" s="8" t="s">
        <v>10</v>
      </c>
      <c r="G937" s="9">
        <v>45610.0</v>
      </c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3">
        <v>45610.0</v>
      </c>
      <c r="B938" s="19" t="s">
        <v>48</v>
      </c>
      <c r="C938" s="19" t="s">
        <v>143</v>
      </c>
      <c r="D938" s="12">
        <v>2.0</v>
      </c>
      <c r="E938" s="16">
        <v>2100.0</v>
      </c>
      <c r="F938" s="25" t="s">
        <v>10</v>
      </c>
      <c r="G938" s="26">
        <v>45654.0</v>
      </c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3">
        <v>45610.0</v>
      </c>
      <c r="B939" s="19" t="s">
        <v>650</v>
      </c>
      <c r="C939" s="19" t="s">
        <v>143</v>
      </c>
      <c r="D939" s="12">
        <v>2.0</v>
      </c>
      <c r="E939" s="16">
        <v>5000.0</v>
      </c>
      <c r="F939" s="25" t="s">
        <v>10</v>
      </c>
      <c r="G939" s="26">
        <v>45657.0</v>
      </c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3">
        <v>45611.0</v>
      </c>
      <c r="B940" s="19" t="s">
        <v>651</v>
      </c>
      <c r="C940" s="19" t="s">
        <v>126</v>
      </c>
      <c r="D940" s="12">
        <v>4.0</v>
      </c>
      <c r="E940" s="16">
        <v>7200.0</v>
      </c>
      <c r="F940" s="25" t="s">
        <v>10</v>
      </c>
      <c r="G940" s="38">
        <v>45678.0</v>
      </c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3">
        <v>45611.0</v>
      </c>
      <c r="B941" s="19" t="s">
        <v>509</v>
      </c>
      <c r="C941" s="19" t="s">
        <v>138</v>
      </c>
      <c r="D941" s="12">
        <v>4.0</v>
      </c>
      <c r="E941" s="16">
        <v>3480.0</v>
      </c>
      <c r="F941" s="8" t="s">
        <v>10</v>
      </c>
      <c r="G941" s="35">
        <v>45628.0</v>
      </c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3">
        <v>45611.0</v>
      </c>
      <c r="B942" s="19" t="s">
        <v>201</v>
      </c>
      <c r="C942" s="19" t="s">
        <v>138</v>
      </c>
      <c r="D942" s="12">
        <v>3.0</v>
      </c>
      <c r="E942" s="16">
        <v>1260.0</v>
      </c>
      <c r="F942" s="8" t="s">
        <v>10</v>
      </c>
      <c r="G942" s="35">
        <v>45628.0</v>
      </c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3">
        <v>45615.0</v>
      </c>
      <c r="B943" s="19" t="s">
        <v>652</v>
      </c>
      <c r="C943" s="19" t="s">
        <v>83</v>
      </c>
      <c r="D943" s="12">
        <v>2.0</v>
      </c>
      <c r="E943" s="16">
        <v>1660.0</v>
      </c>
      <c r="F943" s="8" t="s">
        <v>10</v>
      </c>
      <c r="G943" s="9">
        <v>45615.0</v>
      </c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3">
        <v>45615.0</v>
      </c>
      <c r="B944" s="19" t="s">
        <v>651</v>
      </c>
      <c r="C944" s="19" t="s">
        <v>126</v>
      </c>
      <c r="D944" s="12">
        <v>2.0</v>
      </c>
      <c r="E944" s="24">
        <v>3600.0</v>
      </c>
      <c r="F944" s="25" t="s">
        <v>10</v>
      </c>
      <c r="G944" s="38">
        <v>45714.0</v>
      </c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3">
        <v>45615.0</v>
      </c>
      <c r="B945" s="19" t="s">
        <v>551</v>
      </c>
      <c r="C945" s="19" t="s">
        <v>133</v>
      </c>
      <c r="D945" s="12">
        <v>1.0</v>
      </c>
      <c r="E945" s="16">
        <v>1100.0</v>
      </c>
      <c r="F945" s="8" t="s">
        <v>10</v>
      </c>
      <c r="G945" s="9">
        <v>45623.0</v>
      </c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3">
        <v>45616.0</v>
      </c>
      <c r="B946" s="19" t="s">
        <v>638</v>
      </c>
      <c r="C946" s="19" t="s">
        <v>138</v>
      </c>
      <c r="D946" s="12">
        <v>1.0</v>
      </c>
      <c r="E946" s="16">
        <v>585.0</v>
      </c>
      <c r="F946" s="8" t="s">
        <v>10</v>
      </c>
      <c r="G946" s="35">
        <v>45628.0</v>
      </c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3">
        <v>45616.0</v>
      </c>
      <c r="B947" s="19" t="s">
        <v>653</v>
      </c>
      <c r="C947" s="19" t="s">
        <v>143</v>
      </c>
      <c r="D947" s="12">
        <v>4.0</v>
      </c>
      <c r="E947" s="16">
        <v>2040.0</v>
      </c>
      <c r="F947" s="25" t="s">
        <v>10</v>
      </c>
      <c r="G947" s="26">
        <v>45657.0</v>
      </c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3">
        <v>45619.0</v>
      </c>
      <c r="B948" s="19" t="s">
        <v>11</v>
      </c>
      <c r="C948" s="19" t="s">
        <v>133</v>
      </c>
      <c r="D948" s="12">
        <v>1.0</v>
      </c>
      <c r="E948" s="16">
        <v>1650.0</v>
      </c>
      <c r="F948" s="8" t="s">
        <v>10</v>
      </c>
      <c r="G948" s="9">
        <v>45622.0</v>
      </c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3">
        <v>45621.0</v>
      </c>
      <c r="B949" s="19" t="s">
        <v>654</v>
      </c>
      <c r="C949" s="19" t="s">
        <v>128</v>
      </c>
      <c r="D949" s="12">
        <v>2.0</v>
      </c>
      <c r="E949" s="16">
        <v>6233.0</v>
      </c>
      <c r="F949" s="8" t="s">
        <v>10</v>
      </c>
      <c r="G949" s="9">
        <v>45621.0</v>
      </c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3">
        <v>45621.0</v>
      </c>
      <c r="B950" s="19" t="s">
        <v>399</v>
      </c>
      <c r="C950" s="19" t="s">
        <v>143</v>
      </c>
      <c r="D950" s="12">
        <v>2.0</v>
      </c>
      <c r="E950" s="16">
        <v>3200.0</v>
      </c>
      <c r="F950" s="25" t="s">
        <v>10</v>
      </c>
      <c r="G950" s="26">
        <v>45657.0</v>
      </c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3">
        <v>45621.0</v>
      </c>
      <c r="B951" s="19" t="s">
        <v>64</v>
      </c>
      <c r="C951" s="19" t="s">
        <v>143</v>
      </c>
      <c r="D951" s="12">
        <v>4.0</v>
      </c>
      <c r="E951" s="16">
        <v>2520.0</v>
      </c>
      <c r="F951" s="25" t="s">
        <v>10</v>
      </c>
      <c r="G951" s="26">
        <v>45657.0</v>
      </c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3">
        <v>45621.0</v>
      </c>
      <c r="B952" s="19" t="s">
        <v>585</v>
      </c>
      <c r="C952" s="19" t="s">
        <v>143</v>
      </c>
      <c r="D952" s="12">
        <v>2.0</v>
      </c>
      <c r="E952" s="16">
        <v>920.0</v>
      </c>
      <c r="F952" s="25" t="s">
        <v>10</v>
      </c>
      <c r="G952" s="26">
        <v>45657.0</v>
      </c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3">
        <v>45623.0</v>
      </c>
      <c r="B953" s="19" t="s">
        <v>655</v>
      </c>
      <c r="C953" s="19" t="s">
        <v>9</v>
      </c>
      <c r="D953" s="12">
        <v>1.0</v>
      </c>
      <c r="E953" s="16">
        <v>1200.0</v>
      </c>
      <c r="F953" s="8" t="s">
        <v>10</v>
      </c>
      <c r="G953" s="9">
        <v>45623.0</v>
      </c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3">
        <v>45623.0</v>
      </c>
      <c r="B954" s="19" t="s">
        <v>656</v>
      </c>
      <c r="C954" s="19" t="s">
        <v>143</v>
      </c>
      <c r="D954" s="12">
        <v>1.0</v>
      </c>
      <c r="E954" s="24">
        <v>680.0</v>
      </c>
      <c r="F954" s="25" t="s">
        <v>10</v>
      </c>
      <c r="G954" s="38">
        <v>45677.0</v>
      </c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3">
        <v>45623.0</v>
      </c>
      <c r="B955" s="19" t="s">
        <v>657</v>
      </c>
      <c r="C955" s="19" t="s">
        <v>132</v>
      </c>
      <c r="D955" s="12">
        <v>1.0</v>
      </c>
      <c r="E955" s="16">
        <v>3900.0</v>
      </c>
      <c r="F955" s="8" t="s">
        <v>10</v>
      </c>
      <c r="G955" s="9">
        <v>45623.0</v>
      </c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3">
        <v>45624.0</v>
      </c>
      <c r="B956" s="19" t="s">
        <v>658</v>
      </c>
      <c r="C956" s="19" t="s">
        <v>9</v>
      </c>
      <c r="D956" s="12">
        <v>2.0</v>
      </c>
      <c r="E956" s="16">
        <v>2300.0</v>
      </c>
      <c r="F956" s="8" t="s">
        <v>10</v>
      </c>
      <c r="G956" s="9">
        <v>45624.0</v>
      </c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3">
        <v>45624.0</v>
      </c>
      <c r="B957" s="19" t="s">
        <v>659</v>
      </c>
      <c r="C957" s="19" t="s">
        <v>143</v>
      </c>
      <c r="D957" s="12">
        <v>1.0</v>
      </c>
      <c r="E957" s="24">
        <v>650.0</v>
      </c>
      <c r="F957" s="25" t="s">
        <v>10</v>
      </c>
      <c r="G957" s="38">
        <v>45677.0</v>
      </c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3">
        <v>45624.0</v>
      </c>
      <c r="B958" s="19" t="s">
        <v>660</v>
      </c>
      <c r="C958" s="19" t="s">
        <v>133</v>
      </c>
      <c r="D958" s="12">
        <v>1.0</v>
      </c>
      <c r="E958" s="16">
        <v>2050.0</v>
      </c>
      <c r="F958" s="8" t="s">
        <v>10</v>
      </c>
      <c r="G958" s="9">
        <v>45639.0</v>
      </c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3">
        <v>45625.0</v>
      </c>
      <c r="B959" s="19" t="s">
        <v>661</v>
      </c>
      <c r="C959" s="19" t="s">
        <v>83</v>
      </c>
      <c r="D959" s="12">
        <v>2.0</v>
      </c>
      <c r="E959" s="16">
        <v>4200.0</v>
      </c>
      <c r="F959" s="8" t="s">
        <v>10</v>
      </c>
      <c r="G959" s="9">
        <v>45625.0</v>
      </c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3">
        <v>45625.0</v>
      </c>
      <c r="B960" s="19" t="s">
        <v>64</v>
      </c>
      <c r="C960" s="19" t="s">
        <v>143</v>
      </c>
      <c r="D960" s="12">
        <v>3.0</v>
      </c>
      <c r="E960" s="24">
        <v>1890.0</v>
      </c>
      <c r="F960" s="25" t="s">
        <v>10</v>
      </c>
      <c r="G960" s="38">
        <v>45677.0</v>
      </c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3">
        <v>45625.0</v>
      </c>
      <c r="B961" s="19" t="s">
        <v>662</v>
      </c>
      <c r="C961" s="19" t="s">
        <v>83</v>
      </c>
      <c r="D961" s="12">
        <v>2.0</v>
      </c>
      <c r="E961" s="16">
        <v>2700.0</v>
      </c>
      <c r="F961" s="8" t="s">
        <v>10</v>
      </c>
      <c r="G961" s="9">
        <v>45625.0</v>
      </c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3">
        <v>45626.0</v>
      </c>
      <c r="B962" s="19" t="s">
        <v>663</v>
      </c>
      <c r="C962" s="19" t="s">
        <v>126</v>
      </c>
      <c r="D962" s="12">
        <v>1.0</v>
      </c>
      <c r="E962" s="24">
        <v>1650.0</v>
      </c>
      <c r="F962" s="25" t="s">
        <v>10</v>
      </c>
      <c r="G962" s="38">
        <v>45714.0</v>
      </c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34">
        <v>45626.0</v>
      </c>
      <c r="B963" s="19" t="s">
        <v>629</v>
      </c>
      <c r="C963" s="19" t="s">
        <v>148</v>
      </c>
      <c r="D963" s="12">
        <v>4.0</v>
      </c>
      <c r="E963" s="16">
        <v>2200.0</v>
      </c>
      <c r="F963" s="8" t="s">
        <v>10</v>
      </c>
      <c r="G963" s="35">
        <v>45628.0</v>
      </c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34">
        <v>45628.0</v>
      </c>
      <c r="B964" s="19" t="s">
        <v>430</v>
      </c>
      <c r="C964" s="19" t="s">
        <v>133</v>
      </c>
      <c r="D964" s="12">
        <v>2.0</v>
      </c>
      <c r="E964" s="16">
        <v>1300.0</v>
      </c>
      <c r="F964" s="8" t="s">
        <v>10</v>
      </c>
      <c r="G964" s="9">
        <v>45639.0</v>
      </c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34">
        <v>45628.0</v>
      </c>
      <c r="B965" s="19" t="s">
        <v>664</v>
      </c>
      <c r="C965" s="19" t="s">
        <v>154</v>
      </c>
      <c r="D965" s="12">
        <v>1.0</v>
      </c>
      <c r="E965" s="16">
        <v>1770.0</v>
      </c>
      <c r="F965" s="8" t="s">
        <v>10</v>
      </c>
      <c r="G965" s="35">
        <v>45628.0</v>
      </c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34">
        <v>45629.0</v>
      </c>
      <c r="B966" s="19" t="s">
        <v>665</v>
      </c>
      <c r="C966" s="19" t="s">
        <v>133</v>
      </c>
      <c r="D966" s="12">
        <v>4.0</v>
      </c>
      <c r="E966" s="16">
        <v>9200.0</v>
      </c>
      <c r="F966" s="8" t="s">
        <v>10</v>
      </c>
      <c r="G966" s="9">
        <v>45639.0</v>
      </c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34">
        <v>45629.0</v>
      </c>
      <c r="B967" s="19" t="s">
        <v>666</v>
      </c>
      <c r="C967" s="19" t="s">
        <v>133</v>
      </c>
      <c r="D967" s="12">
        <v>4.0</v>
      </c>
      <c r="E967" s="16">
        <v>7400.0</v>
      </c>
      <c r="F967" s="8" t="s">
        <v>10</v>
      </c>
      <c r="G967" s="9">
        <v>45650.0</v>
      </c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34">
        <v>45630.0</v>
      </c>
      <c r="B968" s="19" t="s">
        <v>403</v>
      </c>
      <c r="C968" s="19" t="s">
        <v>377</v>
      </c>
      <c r="D968" s="12">
        <v>1.0</v>
      </c>
      <c r="E968" s="16">
        <v>1050.0</v>
      </c>
      <c r="F968" s="8" t="s">
        <v>10</v>
      </c>
      <c r="G968" s="35">
        <v>45635.0</v>
      </c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34">
        <v>45630.0</v>
      </c>
      <c r="B969" s="19" t="s">
        <v>667</v>
      </c>
      <c r="C969" s="19" t="s">
        <v>126</v>
      </c>
      <c r="D969" s="12">
        <v>2.0</v>
      </c>
      <c r="E969" s="39">
        <v>2760.0</v>
      </c>
      <c r="F969" s="25" t="s">
        <v>10</v>
      </c>
      <c r="G969" s="38">
        <v>45754.0</v>
      </c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34">
        <v>45630.0</v>
      </c>
      <c r="B970" s="19" t="s">
        <v>668</v>
      </c>
      <c r="C970" s="19" t="s">
        <v>133</v>
      </c>
      <c r="D970" s="12">
        <v>1.0</v>
      </c>
      <c r="E970" s="16">
        <v>1450.0</v>
      </c>
      <c r="F970" s="8" t="s">
        <v>10</v>
      </c>
      <c r="G970" s="9">
        <v>45639.0</v>
      </c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34">
        <v>45631.0</v>
      </c>
      <c r="B971" s="19" t="s">
        <v>669</v>
      </c>
      <c r="C971" s="19" t="s">
        <v>133</v>
      </c>
      <c r="D971" s="12">
        <v>2.0</v>
      </c>
      <c r="E971" s="16">
        <v>2000.0</v>
      </c>
      <c r="F971" s="8" t="s">
        <v>10</v>
      </c>
      <c r="G971" s="9">
        <v>45650.0</v>
      </c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34">
        <v>45631.0</v>
      </c>
      <c r="B972" s="19" t="s">
        <v>194</v>
      </c>
      <c r="C972" s="19" t="s">
        <v>143</v>
      </c>
      <c r="D972" s="12">
        <v>2.0</v>
      </c>
      <c r="E972" s="24">
        <v>2800.0</v>
      </c>
      <c r="F972" s="25" t="s">
        <v>10</v>
      </c>
      <c r="G972" s="38">
        <v>45677.0</v>
      </c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34">
        <v>45632.0</v>
      </c>
      <c r="B973" s="19" t="s">
        <v>670</v>
      </c>
      <c r="C973" s="19" t="s">
        <v>133</v>
      </c>
      <c r="D973" s="12">
        <v>2.0</v>
      </c>
      <c r="E973" s="16">
        <v>2400.0</v>
      </c>
      <c r="F973" s="8" t="s">
        <v>10</v>
      </c>
      <c r="G973" s="9">
        <v>45650.0</v>
      </c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34">
        <v>45632.0</v>
      </c>
      <c r="B974" s="19" t="s">
        <v>369</v>
      </c>
      <c r="C974" s="19" t="s">
        <v>143</v>
      </c>
      <c r="D974" s="12">
        <v>2.0</v>
      </c>
      <c r="E974" s="24">
        <v>1400.0</v>
      </c>
      <c r="F974" s="25" t="s">
        <v>10</v>
      </c>
      <c r="G974" s="38">
        <v>45677.0</v>
      </c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34">
        <v>45632.0</v>
      </c>
      <c r="B975" s="19" t="s">
        <v>269</v>
      </c>
      <c r="C975" s="19" t="s">
        <v>143</v>
      </c>
      <c r="D975" s="12">
        <v>1.0</v>
      </c>
      <c r="E975" s="24">
        <v>680.0</v>
      </c>
      <c r="F975" s="25" t="s">
        <v>10</v>
      </c>
      <c r="G975" s="38">
        <v>45677.0</v>
      </c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34">
        <v>45633.0</v>
      </c>
      <c r="B976" s="19" t="s">
        <v>671</v>
      </c>
      <c r="C976" s="19" t="s">
        <v>9</v>
      </c>
      <c r="D976" s="12">
        <v>2.0</v>
      </c>
      <c r="E976" s="16">
        <v>1500.0</v>
      </c>
      <c r="F976" s="8" t="s">
        <v>10</v>
      </c>
      <c r="G976" s="35">
        <v>45635.0</v>
      </c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34">
        <v>45635.0</v>
      </c>
      <c r="B977" s="19" t="s">
        <v>671</v>
      </c>
      <c r="C977" s="19" t="s">
        <v>9</v>
      </c>
      <c r="D977" s="12">
        <v>2.0</v>
      </c>
      <c r="E977" s="16">
        <v>1500.0</v>
      </c>
      <c r="F977" s="8" t="s">
        <v>10</v>
      </c>
      <c r="G977" s="35">
        <v>45635.0</v>
      </c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3">
        <v>45636.0</v>
      </c>
      <c r="B978" s="19" t="s">
        <v>672</v>
      </c>
      <c r="C978" s="19" t="s">
        <v>9</v>
      </c>
      <c r="D978" s="12">
        <v>1.0</v>
      </c>
      <c r="E978" s="16">
        <v>1750.0</v>
      </c>
      <c r="F978" s="8" t="s">
        <v>10</v>
      </c>
      <c r="G978" s="9">
        <v>45636.0</v>
      </c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3">
        <v>45636.0</v>
      </c>
      <c r="B979" s="19" t="s">
        <v>673</v>
      </c>
      <c r="C979" s="19" t="s">
        <v>504</v>
      </c>
      <c r="D979" s="12">
        <v>12.0</v>
      </c>
      <c r="E979" s="16">
        <v>8380.8</v>
      </c>
      <c r="F979" s="8" t="s">
        <v>10</v>
      </c>
      <c r="G979" s="9">
        <v>45637.0</v>
      </c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3">
        <v>45636.0</v>
      </c>
      <c r="B980" s="19" t="s">
        <v>241</v>
      </c>
      <c r="C980" s="19" t="s">
        <v>9</v>
      </c>
      <c r="D980" s="12">
        <v>4.0</v>
      </c>
      <c r="E980" s="16">
        <v>2400.0</v>
      </c>
      <c r="F980" s="8" t="s">
        <v>10</v>
      </c>
      <c r="G980" s="9">
        <v>45636.0</v>
      </c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3">
        <v>45637.0</v>
      </c>
      <c r="B981" s="19" t="s">
        <v>674</v>
      </c>
      <c r="C981" s="19" t="s">
        <v>143</v>
      </c>
      <c r="D981" s="12">
        <v>1.0</v>
      </c>
      <c r="E981" s="24">
        <v>1900.0</v>
      </c>
      <c r="F981" s="25" t="s">
        <v>10</v>
      </c>
      <c r="G981" s="38">
        <v>45677.0</v>
      </c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3">
        <v>45637.0</v>
      </c>
      <c r="B982" s="19" t="s">
        <v>675</v>
      </c>
      <c r="C982" s="19" t="s">
        <v>133</v>
      </c>
      <c r="D982" s="12">
        <v>2.0</v>
      </c>
      <c r="E982" s="16">
        <v>2400.0</v>
      </c>
      <c r="F982" s="25" t="s">
        <v>10</v>
      </c>
      <c r="G982" s="26">
        <v>45657.0</v>
      </c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3">
        <v>45638.0</v>
      </c>
      <c r="B983" s="19" t="s">
        <v>676</v>
      </c>
      <c r="C983" s="19" t="s">
        <v>83</v>
      </c>
      <c r="D983" s="12">
        <v>2.0</v>
      </c>
      <c r="E983" s="16">
        <v>3600.0</v>
      </c>
      <c r="F983" s="8" t="s">
        <v>10</v>
      </c>
      <c r="G983" s="9">
        <v>45638.0</v>
      </c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3">
        <v>45639.0</v>
      </c>
      <c r="B984" s="19" t="s">
        <v>523</v>
      </c>
      <c r="C984" s="19" t="s">
        <v>133</v>
      </c>
      <c r="D984" s="12">
        <v>2.0</v>
      </c>
      <c r="E984" s="16">
        <v>1400.0</v>
      </c>
      <c r="F984" s="25" t="s">
        <v>10</v>
      </c>
      <c r="G984" s="26">
        <v>45657.0</v>
      </c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3">
        <v>45642.0</v>
      </c>
      <c r="B985" s="19" t="s">
        <v>677</v>
      </c>
      <c r="C985" s="19" t="s">
        <v>156</v>
      </c>
      <c r="D985" s="12">
        <v>2.0</v>
      </c>
      <c r="E985" s="16">
        <v>1145.0</v>
      </c>
      <c r="F985" s="8" t="s">
        <v>10</v>
      </c>
      <c r="G985" s="9">
        <v>45642.0</v>
      </c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3">
        <v>45643.0</v>
      </c>
      <c r="B986" s="19" t="s">
        <v>678</v>
      </c>
      <c r="C986" s="19" t="s">
        <v>156</v>
      </c>
      <c r="D986" s="12">
        <v>4.0</v>
      </c>
      <c r="E986" s="16">
        <v>2100.0</v>
      </c>
      <c r="F986" s="8" t="s">
        <v>10</v>
      </c>
      <c r="G986" s="9">
        <v>45643.0</v>
      </c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3">
        <v>45644.0</v>
      </c>
      <c r="B987" s="19" t="s">
        <v>679</v>
      </c>
      <c r="C987" s="19" t="s">
        <v>9</v>
      </c>
      <c r="D987" s="12">
        <v>1.0</v>
      </c>
      <c r="E987" s="16">
        <v>1300.0</v>
      </c>
      <c r="F987" s="8" t="s">
        <v>10</v>
      </c>
      <c r="G987" s="9">
        <v>45644.0</v>
      </c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3">
        <v>45644.0</v>
      </c>
      <c r="B988" s="19" t="s">
        <v>680</v>
      </c>
      <c r="C988" s="19" t="s">
        <v>154</v>
      </c>
      <c r="D988" s="12">
        <v>2.0</v>
      </c>
      <c r="E988" s="16">
        <v>2412.0</v>
      </c>
      <c r="F988" s="8" t="s">
        <v>10</v>
      </c>
      <c r="G988" s="9">
        <v>45644.0</v>
      </c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3">
        <v>45644.0</v>
      </c>
      <c r="B989" s="19" t="s">
        <v>87</v>
      </c>
      <c r="C989" s="19" t="s">
        <v>113</v>
      </c>
      <c r="D989" s="12">
        <v>2.0</v>
      </c>
      <c r="E989" s="16">
        <v>1100.0</v>
      </c>
      <c r="F989" s="25" t="s">
        <v>10</v>
      </c>
      <c r="G989" s="26">
        <v>45681.0</v>
      </c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3">
        <v>45645.0</v>
      </c>
      <c r="B990" s="19" t="s">
        <v>681</v>
      </c>
      <c r="C990" s="19" t="s">
        <v>83</v>
      </c>
      <c r="D990" s="12">
        <v>1.0</v>
      </c>
      <c r="E990" s="16">
        <v>3200.0</v>
      </c>
      <c r="F990" s="8" t="s">
        <v>10</v>
      </c>
      <c r="G990" s="9">
        <v>45645.0</v>
      </c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3">
        <v>45645.0</v>
      </c>
      <c r="B991" s="19" t="s">
        <v>682</v>
      </c>
      <c r="C991" s="19" t="s">
        <v>133</v>
      </c>
      <c r="D991" s="12">
        <v>1.0</v>
      </c>
      <c r="E991" s="16">
        <v>2050.0</v>
      </c>
      <c r="F991" s="25" t="s">
        <v>10</v>
      </c>
      <c r="G991" s="26">
        <v>45657.0</v>
      </c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3">
        <v>45646.0</v>
      </c>
      <c r="B992" s="19" t="s">
        <v>683</v>
      </c>
      <c r="C992" s="19" t="s">
        <v>9</v>
      </c>
      <c r="D992" s="12">
        <v>4.0</v>
      </c>
      <c r="E992" s="16">
        <v>10000.0</v>
      </c>
      <c r="F992" s="8" t="s">
        <v>10</v>
      </c>
      <c r="G992" s="9">
        <v>45646.0</v>
      </c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3">
        <v>45649.0</v>
      </c>
      <c r="B993" s="19" t="s">
        <v>684</v>
      </c>
      <c r="C993" s="19" t="s">
        <v>133</v>
      </c>
      <c r="D993" s="12">
        <v>2.0</v>
      </c>
      <c r="E993" s="16">
        <v>2400.0</v>
      </c>
      <c r="F993" s="8" t="s">
        <v>10</v>
      </c>
      <c r="G993" s="9">
        <v>45650.0</v>
      </c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3">
        <v>45650.0</v>
      </c>
      <c r="B994" s="19" t="s">
        <v>685</v>
      </c>
      <c r="C994" s="19" t="s">
        <v>154</v>
      </c>
      <c r="D994" s="12">
        <v>2.0</v>
      </c>
      <c r="E994" s="16">
        <v>2675.0</v>
      </c>
      <c r="F994" s="8" t="s">
        <v>10</v>
      </c>
      <c r="G994" s="9">
        <v>45650.0</v>
      </c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36">
        <v>45635.0</v>
      </c>
      <c r="B995" s="33" t="s">
        <v>686</v>
      </c>
      <c r="C995" s="33" t="s">
        <v>126</v>
      </c>
      <c r="D995" s="29">
        <v>2.0</v>
      </c>
      <c r="E995" s="39">
        <v>3700.0</v>
      </c>
      <c r="F995" s="25" t="s">
        <v>10</v>
      </c>
      <c r="G995" s="38">
        <v>45731.0</v>
      </c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3">
        <v>45650.0</v>
      </c>
      <c r="B996" s="19" t="s">
        <v>464</v>
      </c>
      <c r="C996" s="19" t="s">
        <v>126</v>
      </c>
      <c r="D996" s="12">
        <v>3.0</v>
      </c>
      <c r="E996" s="24">
        <v>2880.0</v>
      </c>
      <c r="F996" s="25" t="s">
        <v>10</v>
      </c>
      <c r="G996" s="38">
        <v>45714.0</v>
      </c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3">
        <v>45650.0</v>
      </c>
      <c r="B997" s="19" t="s">
        <v>687</v>
      </c>
      <c r="C997" s="19" t="s">
        <v>133</v>
      </c>
      <c r="D997" s="12">
        <v>2.0</v>
      </c>
      <c r="E997" s="16">
        <v>2200.0</v>
      </c>
      <c r="F997" s="25" t="s">
        <v>10</v>
      </c>
      <c r="G997" s="26">
        <v>45657.0</v>
      </c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3">
        <v>45651.0</v>
      </c>
      <c r="B998" s="19" t="s">
        <v>688</v>
      </c>
      <c r="C998" s="19" t="s">
        <v>133</v>
      </c>
      <c r="D998" s="12">
        <v>3.0</v>
      </c>
      <c r="E998" s="16">
        <v>3150.0</v>
      </c>
      <c r="F998" s="25" t="s">
        <v>10</v>
      </c>
      <c r="G998" s="26">
        <v>45657.0</v>
      </c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3">
        <v>45651.0</v>
      </c>
      <c r="B999" s="19" t="s">
        <v>689</v>
      </c>
      <c r="C999" s="19" t="s">
        <v>83</v>
      </c>
      <c r="D999" s="12">
        <v>1.0</v>
      </c>
      <c r="E999" s="16">
        <v>2050.0</v>
      </c>
      <c r="F999" s="8" t="s">
        <v>10</v>
      </c>
      <c r="G999" s="9">
        <v>45651.0</v>
      </c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3">
        <v>45651.0</v>
      </c>
      <c r="B1000" s="19" t="s">
        <v>690</v>
      </c>
      <c r="C1000" s="19" t="s">
        <v>128</v>
      </c>
      <c r="D1000" s="12">
        <v>2.0</v>
      </c>
      <c r="E1000" s="30">
        <v>1906.0</v>
      </c>
      <c r="F1000" s="8" t="s">
        <v>10</v>
      </c>
      <c r="G1000" s="9">
        <v>45651.0</v>
      </c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3">
        <v>45651.0</v>
      </c>
      <c r="B1001" s="19" t="s">
        <v>514</v>
      </c>
      <c r="C1001" s="19" t="s">
        <v>143</v>
      </c>
      <c r="D1001" s="12">
        <v>4.0</v>
      </c>
      <c r="E1001" s="16">
        <v>4000.0</v>
      </c>
      <c r="F1001" s="25" t="s">
        <v>10</v>
      </c>
      <c r="G1001" s="26">
        <v>45651.0</v>
      </c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36">
        <v>45651.0</v>
      </c>
      <c r="B1002" s="33" t="s">
        <v>562</v>
      </c>
      <c r="C1002" s="33" t="s">
        <v>133</v>
      </c>
      <c r="D1002" s="29">
        <v>1.0</v>
      </c>
      <c r="E1002" s="30">
        <v>1380.0</v>
      </c>
      <c r="F1002" s="25" t="s">
        <v>10</v>
      </c>
      <c r="G1002" s="26">
        <v>45657.0</v>
      </c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36">
        <v>45652.0</v>
      </c>
      <c r="B1003" s="33" t="s">
        <v>667</v>
      </c>
      <c r="C1003" s="33" t="s">
        <v>126</v>
      </c>
      <c r="D1003" s="29">
        <v>2.0</v>
      </c>
      <c r="E1003" s="39">
        <v>2760.0</v>
      </c>
      <c r="F1003" s="25" t="s">
        <v>10</v>
      </c>
      <c r="G1003" s="38">
        <v>45731.0</v>
      </c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36">
        <v>45652.0</v>
      </c>
      <c r="B1004" s="33" t="s">
        <v>100</v>
      </c>
      <c r="C1004" s="33" t="s">
        <v>133</v>
      </c>
      <c r="D1004" s="29">
        <v>1.0</v>
      </c>
      <c r="E1004" s="30">
        <v>750.0</v>
      </c>
      <c r="F1004" s="25" t="s">
        <v>10</v>
      </c>
      <c r="G1004" s="26">
        <v>45652.0</v>
      </c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36">
        <v>45653.0</v>
      </c>
      <c r="B1005" s="33" t="s">
        <v>691</v>
      </c>
      <c r="C1005" s="33" t="s">
        <v>133</v>
      </c>
      <c r="D1005" s="29">
        <v>1.0</v>
      </c>
      <c r="E1005" s="30">
        <v>1400.0</v>
      </c>
      <c r="F1005" s="25" t="s">
        <v>10</v>
      </c>
      <c r="G1005" s="26">
        <v>45653.0</v>
      </c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36">
        <v>45653.0</v>
      </c>
      <c r="B1006" s="33" t="s">
        <v>692</v>
      </c>
      <c r="C1006" s="33" t="s">
        <v>693</v>
      </c>
      <c r="D1006" s="29">
        <v>2.0</v>
      </c>
      <c r="E1006" s="30">
        <v>1900.0</v>
      </c>
      <c r="F1006" s="25" t="s">
        <v>10</v>
      </c>
      <c r="G1006" s="38">
        <v>45661.0</v>
      </c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36">
        <v>45653.0</v>
      </c>
      <c r="B1007" s="33" t="s">
        <v>200</v>
      </c>
      <c r="C1007" s="33" t="s">
        <v>9</v>
      </c>
      <c r="D1007" s="29">
        <v>1.0</v>
      </c>
      <c r="E1007" s="30">
        <v>680.0</v>
      </c>
      <c r="F1007" s="25" t="s">
        <v>10</v>
      </c>
      <c r="G1007" s="26">
        <v>45653.0</v>
      </c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36">
        <v>45654.0</v>
      </c>
      <c r="B1008" s="33" t="s">
        <v>76</v>
      </c>
      <c r="C1008" s="33" t="s">
        <v>156</v>
      </c>
      <c r="D1008" s="29">
        <v>3.0</v>
      </c>
      <c r="E1008" s="30">
        <v>1630.0</v>
      </c>
      <c r="F1008" s="25" t="s">
        <v>10</v>
      </c>
      <c r="G1008" s="26">
        <v>45654.0</v>
      </c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36">
        <v>45656.0</v>
      </c>
      <c r="B1009" s="33" t="s">
        <v>692</v>
      </c>
      <c r="C1009" s="33" t="s">
        <v>693</v>
      </c>
      <c r="D1009" s="29">
        <v>2.0</v>
      </c>
      <c r="E1009" s="30">
        <v>1900.0</v>
      </c>
      <c r="F1009" s="25" t="s">
        <v>10</v>
      </c>
      <c r="G1009" s="38">
        <v>45661.0</v>
      </c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36">
        <v>45656.0</v>
      </c>
      <c r="B1010" s="33" t="s">
        <v>694</v>
      </c>
      <c r="C1010" s="33" t="s">
        <v>9</v>
      </c>
      <c r="D1010" s="29">
        <v>2.0</v>
      </c>
      <c r="E1010" s="30">
        <v>1200.0</v>
      </c>
      <c r="F1010" s="25" t="s">
        <v>10</v>
      </c>
      <c r="G1010" s="26">
        <v>45656.0</v>
      </c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36">
        <v>45656.0</v>
      </c>
      <c r="B1011" s="33" t="s">
        <v>61</v>
      </c>
      <c r="C1011" s="33" t="s">
        <v>154</v>
      </c>
      <c r="D1011" s="29">
        <v>1.0</v>
      </c>
      <c r="E1011" s="30">
        <v>562.0</v>
      </c>
      <c r="F1011" s="25" t="s">
        <v>10</v>
      </c>
      <c r="G1011" s="26">
        <v>45656.0</v>
      </c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36">
        <v>45656.0</v>
      </c>
      <c r="B1012" s="33" t="s">
        <v>695</v>
      </c>
      <c r="C1012" s="33" t="s">
        <v>136</v>
      </c>
      <c r="D1012" s="29">
        <v>4.0</v>
      </c>
      <c r="E1012" s="30">
        <v>3400.0</v>
      </c>
      <c r="F1012" s="25" t="s">
        <v>10</v>
      </c>
      <c r="G1012" s="26">
        <v>45656.0</v>
      </c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36">
        <v>45656.0</v>
      </c>
      <c r="B1013" s="33" t="s">
        <v>464</v>
      </c>
      <c r="C1013" s="33" t="s">
        <v>126</v>
      </c>
      <c r="D1013" s="29">
        <v>4.0</v>
      </c>
      <c r="E1013" s="39">
        <v>3840.0</v>
      </c>
      <c r="F1013" s="25" t="s">
        <v>10</v>
      </c>
      <c r="G1013" s="38">
        <v>45731.0</v>
      </c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36">
        <v>45657.0</v>
      </c>
      <c r="B1014" s="33" t="s">
        <v>696</v>
      </c>
      <c r="C1014" s="33" t="s">
        <v>138</v>
      </c>
      <c r="D1014" s="29">
        <v>1.0</v>
      </c>
      <c r="E1014" s="30">
        <v>450.0</v>
      </c>
      <c r="F1014" s="25" t="s">
        <v>10</v>
      </c>
      <c r="G1014" s="26">
        <v>45657.0</v>
      </c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36">
        <v>45657.0</v>
      </c>
      <c r="B1015" s="33" t="s">
        <v>436</v>
      </c>
      <c r="C1015" s="33" t="s">
        <v>138</v>
      </c>
      <c r="D1015" s="29">
        <v>4.0</v>
      </c>
      <c r="E1015" s="30">
        <v>2740.0</v>
      </c>
      <c r="F1015" s="25" t="s">
        <v>10</v>
      </c>
      <c r="G1015" s="26">
        <v>45657.0</v>
      </c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40">
        <v>45658.0</v>
      </c>
      <c r="B1016" s="33" t="s">
        <v>697</v>
      </c>
      <c r="C1016" s="33" t="s">
        <v>9</v>
      </c>
      <c r="D1016" s="29">
        <v>1.0</v>
      </c>
      <c r="E1016" s="30">
        <f>1700*D1016</f>
        <v>1700</v>
      </c>
      <c r="F1016" s="25" t="s">
        <v>10</v>
      </c>
      <c r="G1016" s="38">
        <v>45658.0</v>
      </c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40">
        <v>45658.0</v>
      </c>
      <c r="B1017" s="33" t="s">
        <v>698</v>
      </c>
      <c r="C1017" s="33" t="s">
        <v>126</v>
      </c>
      <c r="D1017" s="29">
        <v>2.0</v>
      </c>
      <c r="E1017" s="16">
        <f>770*D1017</f>
        <v>1540</v>
      </c>
      <c r="F1017" s="25" t="s">
        <v>10</v>
      </c>
      <c r="G1017" s="38">
        <v>45658.0</v>
      </c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40">
        <v>45659.0</v>
      </c>
      <c r="B1018" s="33" t="s">
        <v>699</v>
      </c>
      <c r="C1018" s="33" t="s">
        <v>126</v>
      </c>
      <c r="D1018" s="29">
        <v>2.0</v>
      </c>
      <c r="E1018" s="39">
        <v>6200.0</v>
      </c>
      <c r="F1018" s="25" t="s">
        <v>10</v>
      </c>
      <c r="G1018" s="38">
        <v>45731.0</v>
      </c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40">
        <v>45659.0</v>
      </c>
      <c r="B1019" s="33" t="s">
        <v>263</v>
      </c>
      <c r="C1019" s="33" t="s">
        <v>126</v>
      </c>
      <c r="D1019" s="29">
        <v>1.0</v>
      </c>
      <c r="E1019" s="39">
        <v>1400.0</v>
      </c>
      <c r="F1019" s="25" t="s">
        <v>10</v>
      </c>
      <c r="G1019" s="38">
        <v>45754.0</v>
      </c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40">
        <v>45659.0</v>
      </c>
      <c r="B1020" s="33" t="s">
        <v>34</v>
      </c>
      <c r="C1020" s="33" t="s">
        <v>143</v>
      </c>
      <c r="D1020" s="29">
        <v>1.0</v>
      </c>
      <c r="E1020" s="39">
        <v>1550.0</v>
      </c>
      <c r="F1020" s="25" t="s">
        <v>10</v>
      </c>
      <c r="G1020" s="38">
        <v>45702.0</v>
      </c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40">
        <v>45659.0</v>
      </c>
      <c r="B1021" s="33" t="s">
        <v>691</v>
      </c>
      <c r="C1021" s="33" t="s">
        <v>143</v>
      </c>
      <c r="D1021" s="29">
        <v>2.0</v>
      </c>
      <c r="E1021" s="39">
        <v>2800.0</v>
      </c>
      <c r="F1021" s="25" t="s">
        <v>10</v>
      </c>
      <c r="G1021" s="38">
        <v>45702.0</v>
      </c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40">
        <v>45660.0</v>
      </c>
      <c r="B1022" s="33" t="s">
        <v>409</v>
      </c>
      <c r="C1022" s="33" t="s">
        <v>322</v>
      </c>
      <c r="D1022" s="29">
        <v>2.0</v>
      </c>
      <c r="E1022" s="39">
        <v>2600.0</v>
      </c>
      <c r="F1022" s="25" t="s">
        <v>10</v>
      </c>
      <c r="G1022" s="38">
        <v>45801.0</v>
      </c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40">
        <v>45660.0</v>
      </c>
      <c r="B1023" s="33" t="s">
        <v>64</v>
      </c>
      <c r="C1023" s="33" t="s">
        <v>143</v>
      </c>
      <c r="D1023" s="29">
        <v>4.0</v>
      </c>
      <c r="E1023" s="39">
        <v>2520.0</v>
      </c>
      <c r="F1023" s="25" t="s">
        <v>10</v>
      </c>
      <c r="G1023" s="38">
        <v>45702.0</v>
      </c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40">
        <v>45660.0</v>
      </c>
      <c r="B1024" s="33" t="s">
        <v>700</v>
      </c>
      <c r="C1024" s="33" t="s">
        <v>138</v>
      </c>
      <c r="D1024" s="29">
        <v>1.0</v>
      </c>
      <c r="E1024" s="30">
        <v>1500.0</v>
      </c>
      <c r="F1024" s="25" t="s">
        <v>10</v>
      </c>
      <c r="G1024" s="38">
        <v>45660.0</v>
      </c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40">
        <v>45660.0</v>
      </c>
      <c r="B1025" s="33" t="s">
        <v>618</v>
      </c>
      <c r="C1025" s="33" t="s">
        <v>143</v>
      </c>
      <c r="D1025" s="29">
        <v>2.0</v>
      </c>
      <c r="E1025" s="39">
        <v>2900.0</v>
      </c>
      <c r="F1025" s="25" t="s">
        <v>10</v>
      </c>
      <c r="G1025" s="38">
        <v>45702.0</v>
      </c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40">
        <v>45663.0</v>
      </c>
      <c r="B1026" s="33" t="s">
        <v>617</v>
      </c>
      <c r="C1026" s="33" t="s">
        <v>138</v>
      </c>
      <c r="D1026" s="29">
        <v>2.0</v>
      </c>
      <c r="E1026" s="30">
        <v>2700.0</v>
      </c>
      <c r="F1026" s="25" t="s">
        <v>10</v>
      </c>
      <c r="G1026" s="38">
        <v>45663.0</v>
      </c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40">
        <v>45663.0</v>
      </c>
      <c r="B1027" s="33" t="s">
        <v>207</v>
      </c>
      <c r="C1027" s="33" t="s">
        <v>133</v>
      </c>
      <c r="D1027" s="29">
        <v>2.0</v>
      </c>
      <c r="E1027" s="30">
        <v>2150.0</v>
      </c>
      <c r="F1027" s="25" t="s">
        <v>10</v>
      </c>
      <c r="G1027" s="38">
        <v>45684.0</v>
      </c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40">
        <v>45664.0</v>
      </c>
      <c r="B1028" s="33" t="s">
        <v>251</v>
      </c>
      <c r="C1028" s="33" t="s">
        <v>143</v>
      </c>
      <c r="D1028" s="29">
        <v>1.0</v>
      </c>
      <c r="E1028" s="39">
        <v>1550.0</v>
      </c>
      <c r="F1028" s="25" t="s">
        <v>10</v>
      </c>
      <c r="G1028" s="38">
        <v>45702.0</v>
      </c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40">
        <v>45664.0</v>
      </c>
      <c r="B1029" s="33" t="s">
        <v>237</v>
      </c>
      <c r="C1029" s="33" t="s">
        <v>136</v>
      </c>
      <c r="D1029" s="29">
        <v>2.0</v>
      </c>
      <c r="E1029" s="30">
        <v>1700.0</v>
      </c>
      <c r="F1029" s="25" t="s">
        <v>10</v>
      </c>
      <c r="G1029" s="38">
        <v>45664.0</v>
      </c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40">
        <v>45665.0</v>
      </c>
      <c r="B1030" s="33" t="s">
        <v>584</v>
      </c>
      <c r="C1030" s="33" t="s">
        <v>83</v>
      </c>
      <c r="D1030" s="29">
        <v>1.0</v>
      </c>
      <c r="E1030" s="30">
        <v>1300.0</v>
      </c>
      <c r="F1030" s="25" t="s">
        <v>10</v>
      </c>
      <c r="G1030" s="38">
        <v>45665.0</v>
      </c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40">
        <v>45666.0</v>
      </c>
      <c r="B1031" s="33" t="s">
        <v>347</v>
      </c>
      <c r="C1031" s="33" t="s">
        <v>133</v>
      </c>
      <c r="D1031" s="29">
        <v>2.0</v>
      </c>
      <c r="E1031" s="30">
        <v>2200.0</v>
      </c>
      <c r="F1031" s="25" t="s">
        <v>10</v>
      </c>
      <c r="G1031" s="38">
        <v>45684.0</v>
      </c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40">
        <v>45666.0</v>
      </c>
      <c r="B1032" s="33" t="s">
        <v>701</v>
      </c>
      <c r="C1032" s="33" t="s">
        <v>154</v>
      </c>
      <c r="D1032" s="29">
        <v>2.0</v>
      </c>
      <c r="E1032" s="30">
        <v>3060.0</v>
      </c>
      <c r="F1032" s="25" t="s">
        <v>10</v>
      </c>
      <c r="G1032" s="38">
        <v>45666.0</v>
      </c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40">
        <v>45667.0</v>
      </c>
      <c r="B1033" s="33" t="s">
        <v>702</v>
      </c>
      <c r="C1033" s="33" t="s">
        <v>138</v>
      </c>
      <c r="D1033" s="29">
        <v>1.0</v>
      </c>
      <c r="E1033" s="30">
        <v>980.0</v>
      </c>
      <c r="F1033" s="25" t="s">
        <v>10</v>
      </c>
      <c r="G1033" s="38">
        <v>45667.0</v>
      </c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40">
        <v>45667.0</v>
      </c>
      <c r="B1034" s="33" t="s">
        <v>703</v>
      </c>
      <c r="C1034" s="33" t="s">
        <v>126</v>
      </c>
      <c r="D1034" s="29">
        <v>4.0</v>
      </c>
      <c r="E1034" s="39">
        <v>5000.0</v>
      </c>
      <c r="F1034" s="25" t="s">
        <v>10</v>
      </c>
      <c r="G1034" s="38">
        <v>45754.0</v>
      </c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40">
        <v>45672.0</v>
      </c>
      <c r="B1035" s="33" t="s">
        <v>618</v>
      </c>
      <c r="C1035" s="33" t="s">
        <v>143</v>
      </c>
      <c r="D1035" s="29">
        <v>4.0</v>
      </c>
      <c r="E1035" s="39">
        <v>5800.0</v>
      </c>
      <c r="F1035" s="25" t="s">
        <v>10</v>
      </c>
      <c r="G1035" s="38">
        <v>45705.0</v>
      </c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40">
        <v>45672.0</v>
      </c>
      <c r="B1036" s="33" t="s">
        <v>704</v>
      </c>
      <c r="C1036" s="33" t="s">
        <v>138</v>
      </c>
      <c r="D1036" s="29">
        <v>1.0</v>
      </c>
      <c r="E1036" s="30">
        <v>815.0</v>
      </c>
      <c r="F1036" s="25" t="s">
        <v>10</v>
      </c>
      <c r="G1036" s="38">
        <v>45672.0</v>
      </c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40">
        <v>45672.0</v>
      </c>
      <c r="B1037" s="33" t="s">
        <v>100</v>
      </c>
      <c r="C1037" s="33" t="s">
        <v>133</v>
      </c>
      <c r="D1037" s="29">
        <v>4.0</v>
      </c>
      <c r="E1037" s="30">
        <v>3000.0</v>
      </c>
      <c r="F1037" s="25" t="s">
        <v>10</v>
      </c>
      <c r="G1037" s="38">
        <v>45684.0</v>
      </c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40">
        <v>45672.0</v>
      </c>
      <c r="B1038" s="33" t="s">
        <v>705</v>
      </c>
      <c r="C1038" s="33" t="s">
        <v>138</v>
      </c>
      <c r="D1038" s="29">
        <v>4.0</v>
      </c>
      <c r="E1038" s="30">
        <v>4060.0</v>
      </c>
      <c r="F1038" s="25" t="s">
        <v>10</v>
      </c>
      <c r="G1038" s="38">
        <v>45672.0</v>
      </c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40">
        <v>45672.0</v>
      </c>
      <c r="B1039" s="33" t="s">
        <v>706</v>
      </c>
      <c r="C1039" s="33" t="s">
        <v>143</v>
      </c>
      <c r="D1039" s="29">
        <v>1.0</v>
      </c>
      <c r="E1039" s="39">
        <v>1250.0</v>
      </c>
      <c r="F1039" s="25" t="s">
        <v>10</v>
      </c>
      <c r="G1039" s="38">
        <v>45705.0</v>
      </c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40">
        <v>45674.0</v>
      </c>
      <c r="B1040" s="33" t="s">
        <v>265</v>
      </c>
      <c r="C1040" s="33" t="s">
        <v>143</v>
      </c>
      <c r="D1040" s="29">
        <v>3.0</v>
      </c>
      <c r="E1040" s="39">
        <v>3600.0</v>
      </c>
      <c r="F1040" s="25" t="s">
        <v>10</v>
      </c>
      <c r="G1040" s="38">
        <v>45705.0</v>
      </c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40">
        <v>45675.0</v>
      </c>
      <c r="B1041" s="33" t="s">
        <v>618</v>
      </c>
      <c r="C1041" s="33" t="s">
        <v>143</v>
      </c>
      <c r="D1041" s="29">
        <v>4.0</v>
      </c>
      <c r="E1041" s="39">
        <v>5800.0</v>
      </c>
      <c r="F1041" s="25" t="s">
        <v>10</v>
      </c>
      <c r="G1041" s="38">
        <v>45713.0</v>
      </c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40">
        <v>45675.0</v>
      </c>
      <c r="B1042" s="33" t="s">
        <v>707</v>
      </c>
      <c r="C1042" s="33" t="s">
        <v>133</v>
      </c>
      <c r="D1042" s="29">
        <v>4.0</v>
      </c>
      <c r="E1042" s="30">
        <v>5200.0</v>
      </c>
      <c r="F1042" s="25" t="s">
        <v>10</v>
      </c>
      <c r="G1042" s="38">
        <v>45684.0</v>
      </c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40">
        <v>45675.0</v>
      </c>
      <c r="B1043" s="33" t="s">
        <v>94</v>
      </c>
      <c r="C1043" s="33" t="s">
        <v>126</v>
      </c>
      <c r="D1043" s="29">
        <v>2.0</v>
      </c>
      <c r="E1043" s="39">
        <v>3500.0</v>
      </c>
      <c r="F1043" s="25" t="s">
        <v>10</v>
      </c>
      <c r="G1043" s="38">
        <v>45754.0</v>
      </c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40">
        <v>45675.0</v>
      </c>
      <c r="B1044" s="33" t="s">
        <v>708</v>
      </c>
      <c r="C1044" s="33" t="s">
        <v>83</v>
      </c>
      <c r="D1044" s="29">
        <v>1.0</v>
      </c>
      <c r="E1044" s="30">
        <v>2450.0</v>
      </c>
      <c r="F1044" s="25" t="s">
        <v>10</v>
      </c>
      <c r="G1044" s="38">
        <v>45675.0</v>
      </c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40">
        <v>45675.0</v>
      </c>
      <c r="B1045" s="33" t="s">
        <v>709</v>
      </c>
      <c r="C1045" s="33" t="s">
        <v>9</v>
      </c>
      <c r="D1045" s="29">
        <v>1.0</v>
      </c>
      <c r="E1045" s="30">
        <v>1250.0</v>
      </c>
      <c r="F1045" s="25" t="s">
        <v>10</v>
      </c>
      <c r="G1045" s="38">
        <v>45675.0</v>
      </c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40">
        <v>45675.0</v>
      </c>
      <c r="B1046" s="33" t="s">
        <v>710</v>
      </c>
      <c r="C1046" s="33" t="s">
        <v>711</v>
      </c>
      <c r="D1046" s="29">
        <v>2.0</v>
      </c>
      <c r="E1046" s="16">
        <f>1350*D1046</f>
        <v>2700</v>
      </c>
      <c r="F1046" s="25" t="s">
        <v>10</v>
      </c>
      <c r="G1046" s="38">
        <v>45675.0</v>
      </c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40">
        <v>45677.0</v>
      </c>
      <c r="B1047" s="33" t="s">
        <v>712</v>
      </c>
      <c r="C1047" s="33" t="s">
        <v>143</v>
      </c>
      <c r="D1047" s="29">
        <v>1.0</v>
      </c>
      <c r="E1047" s="39">
        <v>1700.0</v>
      </c>
      <c r="F1047" s="25" t="s">
        <v>10</v>
      </c>
      <c r="G1047" s="38">
        <v>45713.0</v>
      </c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40">
        <v>45677.0</v>
      </c>
      <c r="B1048" s="33" t="s">
        <v>713</v>
      </c>
      <c r="C1048" s="33" t="s">
        <v>133</v>
      </c>
      <c r="D1048" s="29">
        <v>2.0</v>
      </c>
      <c r="E1048" s="30">
        <v>1300.0</v>
      </c>
      <c r="F1048" s="25" t="s">
        <v>10</v>
      </c>
      <c r="G1048" s="38">
        <v>45684.0</v>
      </c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40">
        <v>45677.0</v>
      </c>
      <c r="B1049" s="33" t="s">
        <v>200</v>
      </c>
      <c r="C1049" s="33" t="s">
        <v>9</v>
      </c>
      <c r="D1049" s="29">
        <v>2.0</v>
      </c>
      <c r="E1049" s="30">
        <v>1360.0</v>
      </c>
      <c r="F1049" s="25" t="s">
        <v>10</v>
      </c>
      <c r="G1049" s="38">
        <v>45677.0</v>
      </c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40">
        <v>45677.0</v>
      </c>
      <c r="B1050" s="33" t="s">
        <v>714</v>
      </c>
      <c r="C1050" s="33" t="s">
        <v>143</v>
      </c>
      <c r="D1050" s="29">
        <v>4.0</v>
      </c>
      <c r="E1050" s="39">
        <v>3800.0</v>
      </c>
      <c r="F1050" s="25" t="s">
        <v>10</v>
      </c>
      <c r="G1050" s="38">
        <v>45713.0</v>
      </c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40">
        <v>45677.0</v>
      </c>
      <c r="B1051" s="33" t="s">
        <v>715</v>
      </c>
      <c r="C1051" s="33" t="s">
        <v>133</v>
      </c>
      <c r="D1051" s="29">
        <v>2.0</v>
      </c>
      <c r="E1051" s="39">
        <v>2800.0</v>
      </c>
      <c r="F1051" s="25" t="s">
        <v>10</v>
      </c>
      <c r="G1051" s="38">
        <v>45694.0</v>
      </c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40">
        <v>45678.0</v>
      </c>
      <c r="B1052" s="33" t="s">
        <v>716</v>
      </c>
      <c r="C1052" s="33" t="s">
        <v>126</v>
      </c>
      <c r="D1052" s="29">
        <v>4.0</v>
      </c>
      <c r="E1052" s="39">
        <v>5280.0</v>
      </c>
      <c r="F1052" s="25" t="s">
        <v>10</v>
      </c>
      <c r="G1052" s="38">
        <v>45794.0</v>
      </c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40">
        <v>45679.0</v>
      </c>
      <c r="B1053" s="33" t="s">
        <v>717</v>
      </c>
      <c r="C1053" s="33" t="s">
        <v>138</v>
      </c>
      <c r="D1053" s="29">
        <v>4.0</v>
      </c>
      <c r="E1053" s="30">
        <v>7200.0</v>
      </c>
      <c r="F1053" s="25" t="s">
        <v>10</v>
      </c>
      <c r="G1053" s="38">
        <v>45679.0</v>
      </c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40">
        <v>45679.0</v>
      </c>
      <c r="B1054" s="33" t="s">
        <v>718</v>
      </c>
      <c r="C1054" s="33" t="s">
        <v>136</v>
      </c>
      <c r="D1054" s="29">
        <v>4.0</v>
      </c>
      <c r="E1054" s="30">
        <v>2480.0</v>
      </c>
      <c r="F1054" s="25" t="s">
        <v>10</v>
      </c>
      <c r="G1054" s="38">
        <v>45679.0</v>
      </c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40">
        <v>45679.0</v>
      </c>
      <c r="B1055" s="33" t="s">
        <v>58</v>
      </c>
      <c r="C1055" s="33" t="s">
        <v>143</v>
      </c>
      <c r="D1055" s="29">
        <v>1.0</v>
      </c>
      <c r="E1055" s="39">
        <v>1450.0</v>
      </c>
      <c r="F1055" s="25" t="s">
        <v>10</v>
      </c>
      <c r="G1055" s="38">
        <v>45722.0</v>
      </c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40">
        <v>45679.0</v>
      </c>
      <c r="B1056" s="33" t="s">
        <v>719</v>
      </c>
      <c r="C1056" s="33" t="s">
        <v>138</v>
      </c>
      <c r="D1056" s="29">
        <v>2.0</v>
      </c>
      <c r="E1056" s="30">
        <v>3300.0</v>
      </c>
      <c r="F1056" s="25" t="s">
        <v>10</v>
      </c>
      <c r="G1056" s="38">
        <v>45679.0</v>
      </c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40">
        <v>45679.0</v>
      </c>
      <c r="B1057" s="33" t="s">
        <v>271</v>
      </c>
      <c r="C1057" s="33" t="s">
        <v>133</v>
      </c>
      <c r="D1057" s="29">
        <v>1.0</v>
      </c>
      <c r="E1057" s="39">
        <v>1000.0</v>
      </c>
      <c r="F1057" s="25" t="s">
        <v>10</v>
      </c>
      <c r="G1057" s="38">
        <v>45694.0</v>
      </c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40">
        <v>45679.0</v>
      </c>
      <c r="B1058" s="33" t="s">
        <v>720</v>
      </c>
      <c r="C1058" s="33" t="s">
        <v>143</v>
      </c>
      <c r="D1058" s="29">
        <v>2.0</v>
      </c>
      <c r="E1058" s="39">
        <v>2400.0</v>
      </c>
      <c r="F1058" s="25" t="s">
        <v>10</v>
      </c>
      <c r="G1058" s="38">
        <v>45722.0</v>
      </c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40">
        <v>45680.0</v>
      </c>
      <c r="B1059" s="33" t="s">
        <v>721</v>
      </c>
      <c r="C1059" s="33" t="s">
        <v>138</v>
      </c>
      <c r="D1059" s="29">
        <v>2.0</v>
      </c>
      <c r="E1059" s="30">
        <v>3150.0</v>
      </c>
      <c r="F1059" s="25" t="s">
        <v>10</v>
      </c>
      <c r="G1059" s="38">
        <v>45680.0</v>
      </c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40">
        <v>45680.0</v>
      </c>
      <c r="B1060" s="33" t="s">
        <v>722</v>
      </c>
      <c r="C1060" s="33" t="s">
        <v>9</v>
      </c>
      <c r="D1060" s="29">
        <v>2.0</v>
      </c>
      <c r="E1060" s="30">
        <v>2300.0</v>
      </c>
      <c r="F1060" s="25" t="s">
        <v>10</v>
      </c>
      <c r="G1060" s="38">
        <v>45680.0</v>
      </c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40">
        <v>45680.0</v>
      </c>
      <c r="B1061" s="33" t="s">
        <v>723</v>
      </c>
      <c r="C1061" s="33" t="s">
        <v>138</v>
      </c>
      <c r="D1061" s="29">
        <v>2.0</v>
      </c>
      <c r="E1061" s="30">
        <v>2310.0</v>
      </c>
      <c r="F1061" s="25" t="s">
        <v>10</v>
      </c>
      <c r="G1061" s="38">
        <v>45680.0</v>
      </c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40">
        <v>45680.0</v>
      </c>
      <c r="B1062" s="33" t="s">
        <v>724</v>
      </c>
      <c r="C1062" s="33" t="s">
        <v>154</v>
      </c>
      <c r="D1062" s="29">
        <v>4.0</v>
      </c>
      <c r="E1062" s="30">
        <v>2350.0</v>
      </c>
      <c r="F1062" s="25" t="s">
        <v>10</v>
      </c>
      <c r="G1062" s="38">
        <v>45680.0</v>
      </c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40">
        <v>45680.0</v>
      </c>
      <c r="B1063" s="33" t="s">
        <v>725</v>
      </c>
      <c r="C1063" s="33" t="s">
        <v>126</v>
      </c>
      <c r="D1063" s="29">
        <v>4.0</v>
      </c>
      <c r="E1063" s="39">
        <v>5280.0</v>
      </c>
      <c r="F1063" s="25" t="s">
        <v>10</v>
      </c>
      <c r="G1063" s="38">
        <v>45794.0</v>
      </c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40">
        <v>45680.0</v>
      </c>
      <c r="B1064" s="33" t="s">
        <v>726</v>
      </c>
      <c r="C1064" s="33" t="s">
        <v>9</v>
      </c>
      <c r="D1064" s="29">
        <v>3.0</v>
      </c>
      <c r="E1064" s="30">
        <v>4950.0</v>
      </c>
      <c r="F1064" s="25" t="s">
        <v>10</v>
      </c>
      <c r="G1064" s="38">
        <v>45680.0</v>
      </c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40">
        <v>45680.0</v>
      </c>
      <c r="B1065" s="33" t="s">
        <v>726</v>
      </c>
      <c r="C1065" s="33" t="s">
        <v>133</v>
      </c>
      <c r="D1065" s="29">
        <v>1.0</v>
      </c>
      <c r="E1065" s="39">
        <v>2000.0</v>
      </c>
      <c r="F1065" s="25" t="s">
        <v>10</v>
      </c>
      <c r="G1065" s="38">
        <v>45694.0</v>
      </c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40">
        <v>45681.0</v>
      </c>
      <c r="B1066" s="33" t="s">
        <v>654</v>
      </c>
      <c r="C1066" s="33" t="s">
        <v>126</v>
      </c>
      <c r="D1066" s="29">
        <v>1.0</v>
      </c>
      <c r="E1066" s="30">
        <v>3200.0</v>
      </c>
      <c r="F1066" s="25" t="s">
        <v>10</v>
      </c>
      <c r="G1066" s="38">
        <v>45794.0</v>
      </c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40">
        <v>45682.0</v>
      </c>
      <c r="B1067" s="33" t="s">
        <v>200</v>
      </c>
      <c r="C1067" s="33" t="s">
        <v>9</v>
      </c>
      <c r="D1067" s="29">
        <v>2.0</v>
      </c>
      <c r="E1067" s="30">
        <v>1360.0</v>
      </c>
      <c r="F1067" s="25" t="s">
        <v>10</v>
      </c>
      <c r="G1067" s="38">
        <v>45682.0</v>
      </c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40">
        <v>45682.0</v>
      </c>
      <c r="B1068" s="33" t="s">
        <v>727</v>
      </c>
      <c r="C1068" s="33" t="s">
        <v>136</v>
      </c>
      <c r="D1068" s="29">
        <v>4.0</v>
      </c>
      <c r="E1068" s="30">
        <v>3400.0</v>
      </c>
      <c r="F1068" s="25" t="s">
        <v>10</v>
      </c>
      <c r="G1068" s="38">
        <v>45682.0</v>
      </c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40">
        <v>45682.0</v>
      </c>
      <c r="B1069" s="33" t="s">
        <v>177</v>
      </c>
      <c r="C1069" s="33" t="s">
        <v>133</v>
      </c>
      <c r="D1069" s="29">
        <v>2.0</v>
      </c>
      <c r="E1069" s="39">
        <v>2760.0</v>
      </c>
      <c r="F1069" s="25" t="s">
        <v>10</v>
      </c>
      <c r="G1069" s="38">
        <v>45694.0</v>
      </c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40">
        <v>45684.0</v>
      </c>
      <c r="B1070" s="33" t="s">
        <v>464</v>
      </c>
      <c r="C1070" s="33" t="s">
        <v>126</v>
      </c>
      <c r="D1070" s="29">
        <v>4.0</v>
      </c>
      <c r="E1070" s="30">
        <v>3840.0</v>
      </c>
      <c r="F1070" s="25" t="s">
        <v>10</v>
      </c>
      <c r="G1070" s="38">
        <v>45794.0</v>
      </c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40">
        <v>45684.0</v>
      </c>
      <c r="B1071" s="33" t="s">
        <v>728</v>
      </c>
      <c r="C1071" s="33" t="s">
        <v>133</v>
      </c>
      <c r="D1071" s="29">
        <v>1.0</v>
      </c>
      <c r="E1071" s="39">
        <v>2650.0</v>
      </c>
      <c r="F1071" s="25" t="s">
        <v>10</v>
      </c>
      <c r="G1071" s="38">
        <v>45694.0</v>
      </c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40">
        <v>45684.0</v>
      </c>
      <c r="B1072" s="33" t="s">
        <v>729</v>
      </c>
      <c r="C1072" s="33" t="s">
        <v>138</v>
      </c>
      <c r="D1072" s="29">
        <v>5.0</v>
      </c>
      <c r="E1072" s="30">
        <v>6600.0</v>
      </c>
      <c r="F1072" s="25" t="s">
        <v>10</v>
      </c>
      <c r="G1072" s="38">
        <v>45684.0</v>
      </c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40">
        <v>45684.0</v>
      </c>
      <c r="B1073" s="33" t="s">
        <v>730</v>
      </c>
      <c r="C1073" s="33" t="s">
        <v>9</v>
      </c>
      <c r="D1073" s="29">
        <v>2.0</v>
      </c>
      <c r="E1073" s="30">
        <v>2500.0</v>
      </c>
      <c r="F1073" s="25" t="s">
        <v>10</v>
      </c>
      <c r="G1073" s="38">
        <v>45684.0</v>
      </c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40">
        <v>45684.0</v>
      </c>
      <c r="B1074" s="33" t="s">
        <v>369</v>
      </c>
      <c r="C1074" s="33" t="s">
        <v>143</v>
      </c>
      <c r="D1074" s="29">
        <v>2.0</v>
      </c>
      <c r="E1074" s="39">
        <v>1400.0</v>
      </c>
      <c r="F1074" s="25" t="s">
        <v>10</v>
      </c>
      <c r="G1074" s="38">
        <v>45722.0</v>
      </c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40">
        <v>45684.0</v>
      </c>
      <c r="B1075" s="33" t="s">
        <v>84</v>
      </c>
      <c r="C1075" s="33" t="s">
        <v>133</v>
      </c>
      <c r="D1075" s="29">
        <v>1.0</v>
      </c>
      <c r="E1075" s="39">
        <v>2300.0</v>
      </c>
      <c r="F1075" s="25" t="s">
        <v>10</v>
      </c>
      <c r="G1075" s="38">
        <v>45698.0</v>
      </c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40">
        <v>45685.0</v>
      </c>
      <c r="B1076" s="33" t="s">
        <v>232</v>
      </c>
      <c r="C1076" s="33" t="s">
        <v>325</v>
      </c>
      <c r="D1076" s="29">
        <v>4.0</v>
      </c>
      <c r="E1076" s="30">
        <v>5080.0</v>
      </c>
      <c r="F1076" s="25" t="s">
        <v>10</v>
      </c>
      <c r="G1076" s="38">
        <v>45801.0</v>
      </c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40">
        <v>45685.0</v>
      </c>
      <c r="B1077" s="33" t="s">
        <v>731</v>
      </c>
      <c r="C1077" s="33" t="s">
        <v>156</v>
      </c>
      <c r="D1077" s="29">
        <v>3.0</v>
      </c>
      <c r="E1077" s="30">
        <v>2200.0</v>
      </c>
      <c r="F1077" s="25" t="s">
        <v>10</v>
      </c>
      <c r="G1077" s="38">
        <v>45685.0</v>
      </c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40">
        <v>45685.0</v>
      </c>
      <c r="B1078" s="33" t="s">
        <v>104</v>
      </c>
      <c r="C1078" s="33" t="s">
        <v>138</v>
      </c>
      <c r="D1078" s="29">
        <v>1.0</v>
      </c>
      <c r="E1078" s="30">
        <v>1000.0</v>
      </c>
      <c r="F1078" s="25" t="s">
        <v>10</v>
      </c>
      <c r="G1078" s="38">
        <v>45685.0</v>
      </c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40">
        <v>45685.0</v>
      </c>
      <c r="B1079" s="33" t="s">
        <v>732</v>
      </c>
      <c r="C1079" s="33" t="s">
        <v>133</v>
      </c>
      <c r="D1079" s="29">
        <v>4.0</v>
      </c>
      <c r="E1079" s="30">
        <v>6000.0</v>
      </c>
      <c r="F1079" s="25" t="s">
        <v>10</v>
      </c>
      <c r="G1079" s="38">
        <v>45695.0</v>
      </c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40">
        <v>45686.0</v>
      </c>
      <c r="B1080" s="33" t="s">
        <v>733</v>
      </c>
      <c r="C1080" s="33" t="s">
        <v>138</v>
      </c>
      <c r="D1080" s="29">
        <v>4.0</v>
      </c>
      <c r="E1080" s="30">
        <v>6100.0</v>
      </c>
      <c r="F1080" s="25" t="s">
        <v>10</v>
      </c>
      <c r="G1080" s="38">
        <v>45695.0</v>
      </c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40">
        <v>45686.0</v>
      </c>
      <c r="B1081" s="33" t="s">
        <v>64</v>
      </c>
      <c r="C1081" s="33" t="s">
        <v>138</v>
      </c>
      <c r="D1081" s="29">
        <v>2.0</v>
      </c>
      <c r="E1081" s="30">
        <v>1250.0</v>
      </c>
      <c r="F1081" s="25" t="s">
        <v>10</v>
      </c>
      <c r="G1081" s="38">
        <v>45695.0</v>
      </c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40">
        <v>45686.0</v>
      </c>
      <c r="B1082" s="33" t="s">
        <v>734</v>
      </c>
      <c r="C1082" s="33" t="s">
        <v>133</v>
      </c>
      <c r="D1082" s="29">
        <v>4.0</v>
      </c>
      <c r="E1082" s="39">
        <v>3600.0</v>
      </c>
      <c r="F1082" s="25" t="s">
        <v>10</v>
      </c>
      <c r="G1082" s="38">
        <v>45698.0</v>
      </c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40">
        <v>45686.0</v>
      </c>
      <c r="B1083" s="33" t="s">
        <v>586</v>
      </c>
      <c r="C1083" s="33" t="s">
        <v>9</v>
      </c>
      <c r="D1083" s="29">
        <v>4.0</v>
      </c>
      <c r="E1083" s="30">
        <v>2120.0</v>
      </c>
      <c r="F1083" s="25" t="s">
        <v>10</v>
      </c>
      <c r="G1083" s="38">
        <v>45686.0</v>
      </c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40">
        <v>45686.0</v>
      </c>
      <c r="B1084" s="33" t="s">
        <v>369</v>
      </c>
      <c r="C1084" s="33" t="s">
        <v>143</v>
      </c>
      <c r="D1084" s="29">
        <v>2.0</v>
      </c>
      <c r="E1084" s="39">
        <v>1400.0</v>
      </c>
      <c r="F1084" s="25" t="s">
        <v>10</v>
      </c>
      <c r="G1084" s="38">
        <v>45722.0</v>
      </c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40">
        <v>45686.0</v>
      </c>
      <c r="B1085" s="33" t="s">
        <v>487</v>
      </c>
      <c r="C1085" s="33" t="s">
        <v>143</v>
      </c>
      <c r="D1085" s="29">
        <v>2.0</v>
      </c>
      <c r="E1085" s="39">
        <v>1740.0</v>
      </c>
      <c r="F1085" s="25" t="s">
        <v>10</v>
      </c>
      <c r="G1085" s="38">
        <v>45722.0</v>
      </c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40">
        <v>45687.0</v>
      </c>
      <c r="B1086" s="33" t="s">
        <v>735</v>
      </c>
      <c r="C1086" s="33" t="s">
        <v>133</v>
      </c>
      <c r="D1086" s="29">
        <v>4.0</v>
      </c>
      <c r="E1086" s="39">
        <v>5480.0</v>
      </c>
      <c r="F1086" s="25" t="s">
        <v>10</v>
      </c>
      <c r="G1086" s="38">
        <v>45698.0</v>
      </c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40">
        <v>45688.0</v>
      </c>
      <c r="B1087" s="33" t="s">
        <v>736</v>
      </c>
      <c r="C1087" s="33" t="s">
        <v>9</v>
      </c>
      <c r="D1087" s="29">
        <v>2.0</v>
      </c>
      <c r="E1087" s="30">
        <v>1360.0</v>
      </c>
      <c r="F1087" s="25" t="s">
        <v>10</v>
      </c>
      <c r="G1087" s="38">
        <v>45688.0</v>
      </c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40">
        <v>45688.0</v>
      </c>
      <c r="B1088" s="33" t="s">
        <v>716</v>
      </c>
      <c r="C1088" s="33" t="s">
        <v>159</v>
      </c>
      <c r="D1088" s="29">
        <v>2.0</v>
      </c>
      <c r="E1088" s="30">
        <v>2700.0</v>
      </c>
      <c r="F1088" s="25" t="s">
        <v>10</v>
      </c>
      <c r="G1088" s="38">
        <v>45688.0</v>
      </c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40">
        <v>45688.0</v>
      </c>
      <c r="B1089" s="33" t="s">
        <v>737</v>
      </c>
      <c r="C1089" s="33" t="s">
        <v>128</v>
      </c>
      <c r="D1089" s="29">
        <v>2.0</v>
      </c>
      <c r="E1089" s="30">
        <v>2500.0</v>
      </c>
      <c r="F1089" s="25" t="s">
        <v>10</v>
      </c>
      <c r="G1089" s="38">
        <v>45688.0</v>
      </c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40">
        <v>45689.0</v>
      </c>
      <c r="B1090" s="33" t="s">
        <v>738</v>
      </c>
      <c r="C1090" s="33" t="s">
        <v>143</v>
      </c>
      <c r="D1090" s="29">
        <v>1.0</v>
      </c>
      <c r="E1090" s="39">
        <v>2150.0</v>
      </c>
      <c r="F1090" s="25" t="s">
        <v>10</v>
      </c>
      <c r="G1090" s="38">
        <v>45722.0</v>
      </c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40">
        <v>45691.0</v>
      </c>
      <c r="B1091" s="33" t="s">
        <v>739</v>
      </c>
      <c r="C1091" s="33" t="s">
        <v>156</v>
      </c>
      <c r="D1091" s="29">
        <v>1.0</v>
      </c>
      <c r="E1091" s="30">
        <v>533.5</v>
      </c>
      <c r="F1091" s="25" t="s">
        <v>10</v>
      </c>
      <c r="G1091" s="38">
        <v>45691.0</v>
      </c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40">
        <v>45692.0</v>
      </c>
      <c r="B1092" s="33" t="s">
        <v>559</v>
      </c>
      <c r="C1092" s="33" t="s">
        <v>9</v>
      </c>
      <c r="D1092" s="29">
        <v>2.0</v>
      </c>
      <c r="E1092" s="30">
        <v>2300.0</v>
      </c>
      <c r="F1092" s="25" t="s">
        <v>10</v>
      </c>
      <c r="G1092" s="38">
        <v>45692.0</v>
      </c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40">
        <v>45692.0</v>
      </c>
      <c r="B1093" s="33" t="s">
        <v>740</v>
      </c>
      <c r="C1093" s="33" t="s">
        <v>143</v>
      </c>
      <c r="D1093" s="29">
        <v>4.0</v>
      </c>
      <c r="E1093" s="39">
        <v>11200.0</v>
      </c>
      <c r="F1093" s="25" t="s">
        <v>10</v>
      </c>
      <c r="G1093" s="38">
        <v>45737.0</v>
      </c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40">
        <v>45693.0</v>
      </c>
      <c r="B1094" s="33" t="s">
        <v>64</v>
      </c>
      <c r="C1094" s="33" t="s">
        <v>138</v>
      </c>
      <c r="D1094" s="29">
        <v>2.0</v>
      </c>
      <c r="E1094" s="30">
        <v>2500.0</v>
      </c>
      <c r="F1094" s="25" t="s">
        <v>10</v>
      </c>
      <c r="G1094" s="38">
        <v>45693.0</v>
      </c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40">
        <v>45693.0</v>
      </c>
      <c r="B1095" s="33" t="s">
        <v>548</v>
      </c>
      <c r="C1095" s="33" t="s">
        <v>133</v>
      </c>
      <c r="D1095" s="29">
        <v>2.0</v>
      </c>
      <c r="E1095" s="39">
        <v>1500.0</v>
      </c>
      <c r="F1095" s="25" t="s">
        <v>10</v>
      </c>
      <c r="G1095" s="38">
        <v>45720.0</v>
      </c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40">
        <v>45693.0</v>
      </c>
      <c r="B1096" s="33" t="s">
        <v>741</v>
      </c>
      <c r="C1096" s="33" t="s">
        <v>9</v>
      </c>
      <c r="D1096" s="29">
        <v>1.0</v>
      </c>
      <c r="E1096" s="30">
        <v>1900.0</v>
      </c>
      <c r="F1096" s="25" t="s">
        <v>10</v>
      </c>
      <c r="G1096" s="38">
        <v>45693.0</v>
      </c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t="16.5" customHeight="1">
      <c r="A1097" s="40">
        <v>45693.0</v>
      </c>
      <c r="B1097" s="33" t="s">
        <v>437</v>
      </c>
      <c r="C1097" s="33" t="s">
        <v>138</v>
      </c>
      <c r="D1097" s="29">
        <v>2.0</v>
      </c>
      <c r="E1097" s="30">
        <v>2200.0</v>
      </c>
      <c r="F1097" s="25" t="s">
        <v>10</v>
      </c>
      <c r="G1097" s="38">
        <v>45694.0</v>
      </c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40">
        <v>45694.0</v>
      </c>
      <c r="B1098" s="33" t="s">
        <v>742</v>
      </c>
      <c r="C1098" s="33" t="s">
        <v>138</v>
      </c>
      <c r="D1098" s="29">
        <v>1.0</v>
      </c>
      <c r="E1098" s="30">
        <v>955.0</v>
      </c>
      <c r="F1098" s="25" t="s">
        <v>10</v>
      </c>
      <c r="G1098" s="38">
        <v>45694.0</v>
      </c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40">
        <v>45694.0</v>
      </c>
      <c r="B1099" s="33" t="s">
        <v>614</v>
      </c>
      <c r="C1099" s="33" t="s">
        <v>126</v>
      </c>
      <c r="D1099" s="29">
        <v>1.0</v>
      </c>
      <c r="E1099" s="30">
        <v>1800.0</v>
      </c>
      <c r="F1099" s="25" t="s">
        <v>10</v>
      </c>
      <c r="G1099" s="38">
        <v>45835.0</v>
      </c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40">
        <v>45694.0</v>
      </c>
      <c r="B1100" s="33" t="s">
        <v>743</v>
      </c>
      <c r="C1100" s="33" t="s">
        <v>136</v>
      </c>
      <c r="D1100" s="29">
        <v>2.0</v>
      </c>
      <c r="E1100" s="30">
        <v>1600.0</v>
      </c>
      <c r="F1100" s="25" t="s">
        <v>10</v>
      </c>
      <c r="G1100" s="38">
        <v>45694.0</v>
      </c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40">
        <v>45694.0</v>
      </c>
      <c r="B1101" s="33" t="s">
        <v>744</v>
      </c>
      <c r="C1101" s="33" t="s">
        <v>143</v>
      </c>
      <c r="D1101" s="29">
        <v>4.0</v>
      </c>
      <c r="E1101" s="39">
        <v>2800.0</v>
      </c>
      <c r="F1101" s="25" t="s">
        <v>10</v>
      </c>
      <c r="G1101" s="38">
        <v>45737.0</v>
      </c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40">
        <v>45695.0</v>
      </c>
      <c r="B1102" s="33" t="s">
        <v>744</v>
      </c>
      <c r="C1102" s="33" t="s">
        <v>143</v>
      </c>
      <c r="D1102" s="29">
        <v>4.0</v>
      </c>
      <c r="E1102" s="39">
        <v>2800.0</v>
      </c>
      <c r="F1102" s="25" t="s">
        <v>10</v>
      </c>
      <c r="G1102" s="38">
        <v>45737.0</v>
      </c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40">
        <v>45695.0</v>
      </c>
      <c r="B1103" s="33" t="s">
        <v>545</v>
      </c>
      <c r="C1103" s="33" t="s">
        <v>325</v>
      </c>
      <c r="D1103" s="29">
        <v>2.0</v>
      </c>
      <c r="E1103" s="30">
        <v>2200.0</v>
      </c>
      <c r="F1103" s="25" t="s">
        <v>10</v>
      </c>
      <c r="G1103" s="38">
        <v>45803.0</v>
      </c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40">
        <v>45695.0</v>
      </c>
      <c r="B1104" s="33" t="s">
        <v>745</v>
      </c>
      <c r="C1104" s="33" t="s">
        <v>133</v>
      </c>
      <c r="D1104" s="29">
        <v>2.0</v>
      </c>
      <c r="E1104" s="39">
        <v>3500.0</v>
      </c>
      <c r="F1104" s="25" t="s">
        <v>10</v>
      </c>
      <c r="G1104" s="38">
        <v>45720.0</v>
      </c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40">
        <v>45695.0</v>
      </c>
      <c r="B1105" s="33" t="s">
        <v>694</v>
      </c>
      <c r="C1105" s="33" t="s">
        <v>9</v>
      </c>
      <c r="D1105" s="29">
        <v>4.0</v>
      </c>
      <c r="E1105" s="30">
        <v>2480.0</v>
      </c>
      <c r="F1105" s="25" t="s">
        <v>10</v>
      </c>
      <c r="G1105" s="38">
        <v>45696.0</v>
      </c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40">
        <v>45696.0</v>
      </c>
      <c r="B1106" s="33" t="s">
        <v>746</v>
      </c>
      <c r="C1106" s="33" t="s">
        <v>83</v>
      </c>
      <c r="D1106" s="29">
        <v>2.0</v>
      </c>
      <c r="E1106" s="30">
        <v>5200.0</v>
      </c>
      <c r="F1106" s="25" t="s">
        <v>10</v>
      </c>
      <c r="G1106" s="38">
        <v>45696.0</v>
      </c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40">
        <v>45698.0</v>
      </c>
      <c r="B1107" s="33" t="s">
        <v>747</v>
      </c>
      <c r="C1107" s="33" t="s">
        <v>143</v>
      </c>
      <c r="D1107" s="29">
        <v>4.0</v>
      </c>
      <c r="E1107" s="41">
        <v>5200.0</v>
      </c>
      <c r="F1107" s="25" t="s">
        <v>10</v>
      </c>
      <c r="G1107" s="38">
        <v>45743.0</v>
      </c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40">
        <v>45698.0</v>
      </c>
      <c r="B1108" s="33" t="s">
        <v>344</v>
      </c>
      <c r="C1108" s="33" t="s">
        <v>138</v>
      </c>
      <c r="D1108" s="29">
        <v>2.0</v>
      </c>
      <c r="E1108" s="30">
        <v>1190.0</v>
      </c>
      <c r="F1108" s="25" t="s">
        <v>10</v>
      </c>
      <c r="G1108" s="38">
        <v>45698.0</v>
      </c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40">
        <v>45699.0</v>
      </c>
      <c r="B1109" s="33" t="s">
        <v>748</v>
      </c>
      <c r="C1109" s="33" t="s">
        <v>143</v>
      </c>
      <c r="D1109" s="29">
        <v>2.0</v>
      </c>
      <c r="E1109" s="41">
        <v>2000.0</v>
      </c>
      <c r="F1109" s="25" t="s">
        <v>10</v>
      </c>
      <c r="G1109" s="38">
        <v>45743.0</v>
      </c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40">
        <v>45699.0</v>
      </c>
      <c r="B1110" s="33" t="s">
        <v>749</v>
      </c>
      <c r="C1110" s="33" t="s">
        <v>9</v>
      </c>
      <c r="D1110" s="29">
        <v>1.0</v>
      </c>
      <c r="E1110" s="30">
        <v>1750.0</v>
      </c>
      <c r="F1110" s="25" t="s">
        <v>10</v>
      </c>
      <c r="G1110" s="38">
        <v>45699.0</v>
      </c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40">
        <v>45700.0</v>
      </c>
      <c r="B1111" s="33" t="s">
        <v>720</v>
      </c>
      <c r="C1111" s="33" t="s">
        <v>143</v>
      </c>
      <c r="D1111" s="29">
        <v>2.0</v>
      </c>
      <c r="E1111" s="30">
        <v>2400.0</v>
      </c>
      <c r="F1111" s="25" t="s">
        <v>10</v>
      </c>
      <c r="G1111" s="38">
        <v>45701.0</v>
      </c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40">
        <v>45700.0</v>
      </c>
      <c r="B1112" s="33" t="s">
        <v>750</v>
      </c>
      <c r="C1112" s="33" t="s">
        <v>751</v>
      </c>
      <c r="D1112" s="29">
        <v>2.0</v>
      </c>
      <c r="E1112" s="30">
        <v>4200.0</v>
      </c>
      <c r="F1112" s="25" t="s">
        <v>10</v>
      </c>
      <c r="G1112" s="38">
        <v>45700.0</v>
      </c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40">
        <v>45701.0</v>
      </c>
      <c r="B1113" s="33" t="s">
        <v>752</v>
      </c>
      <c r="C1113" s="33" t="s">
        <v>325</v>
      </c>
      <c r="D1113" s="29">
        <v>1.0</v>
      </c>
      <c r="E1113" s="30">
        <v>2550.0</v>
      </c>
      <c r="F1113" s="25" t="s">
        <v>10</v>
      </c>
      <c r="G1113" s="38">
        <v>45803.0</v>
      </c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40">
        <v>45701.0</v>
      </c>
      <c r="B1114" s="33" t="s">
        <v>753</v>
      </c>
      <c r="C1114" s="33" t="s">
        <v>133</v>
      </c>
      <c r="D1114" s="29">
        <v>1.0</v>
      </c>
      <c r="E1114" s="39">
        <v>2380.0</v>
      </c>
      <c r="F1114" s="25" t="s">
        <v>10</v>
      </c>
      <c r="G1114" s="38">
        <v>45720.0</v>
      </c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40">
        <v>45701.0</v>
      </c>
      <c r="B1115" s="33" t="s">
        <v>754</v>
      </c>
      <c r="C1115" s="33" t="s">
        <v>9</v>
      </c>
      <c r="D1115" s="29">
        <v>2.0</v>
      </c>
      <c r="E1115" s="30">
        <v>1560.0</v>
      </c>
      <c r="F1115" s="25" t="s">
        <v>10</v>
      </c>
      <c r="G1115" s="38">
        <v>45701.0</v>
      </c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40">
        <v>45701.0</v>
      </c>
      <c r="B1116" s="33" t="s">
        <v>755</v>
      </c>
      <c r="C1116" s="33" t="s">
        <v>154</v>
      </c>
      <c r="D1116" s="29">
        <v>2.0</v>
      </c>
      <c r="E1116" s="30">
        <v>1525.0</v>
      </c>
      <c r="F1116" s="25" t="s">
        <v>10</v>
      </c>
      <c r="G1116" s="38">
        <v>45701.0</v>
      </c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40">
        <v>45702.0</v>
      </c>
      <c r="B1117" s="33" t="s">
        <v>756</v>
      </c>
      <c r="C1117" s="33" t="s">
        <v>159</v>
      </c>
      <c r="D1117" s="29">
        <v>1.0</v>
      </c>
      <c r="E1117" s="30">
        <v>1150.0</v>
      </c>
      <c r="F1117" s="25" t="s">
        <v>10</v>
      </c>
      <c r="G1117" s="38">
        <v>45702.0</v>
      </c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40">
        <v>45702.0</v>
      </c>
      <c r="B1118" s="33" t="s">
        <v>757</v>
      </c>
      <c r="C1118" s="33" t="s">
        <v>133</v>
      </c>
      <c r="D1118" s="29">
        <v>4.0</v>
      </c>
      <c r="E1118" s="30">
        <v>10200.0</v>
      </c>
      <c r="F1118" s="25" t="s">
        <v>10</v>
      </c>
      <c r="G1118" s="38">
        <v>45736.0</v>
      </c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40">
        <v>45703.0</v>
      </c>
      <c r="B1119" s="33" t="s">
        <v>758</v>
      </c>
      <c r="C1119" s="33" t="s">
        <v>138</v>
      </c>
      <c r="D1119" s="29">
        <v>4.0</v>
      </c>
      <c r="E1119" s="30">
        <v>3280.0</v>
      </c>
      <c r="F1119" s="25" t="s">
        <v>10</v>
      </c>
      <c r="G1119" s="38">
        <v>45703.0</v>
      </c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40">
        <v>45703.0</v>
      </c>
      <c r="B1120" s="33" t="s">
        <v>54</v>
      </c>
      <c r="C1120" s="33" t="s">
        <v>143</v>
      </c>
      <c r="D1120" s="29">
        <v>4.0</v>
      </c>
      <c r="E1120" s="30">
        <v>4680.0</v>
      </c>
      <c r="F1120" s="25" t="s">
        <v>10</v>
      </c>
      <c r="G1120" s="38">
        <v>45706.0</v>
      </c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40">
        <v>45705.0</v>
      </c>
      <c r="B1121" s="33" t="s">
        <v>265</v>
      </c>
      <c r="C1121" s="33" t="s">
        <v>143</v>
      </c>
      <c r="D1121" s="29">
        <v>4.0</v>
      </c>
      <c r="E1121" s="41">
        <v>4800.0</v>
      </c>
      <c r="F1121" s="25" t="s">
        <v>10</v>
      </c>
      <c r="G1121" s="38">
        <v>45743.0</v>
      </c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40">
        <v>45705.0</v>
      </c>
      <c r="B1122" s="33" t="s">
        <v>500</v>
      </c>
      <c r="C1122" s="33" t="s">
        <v>133</v>
      </c>
      <c r="D1122" s="29">
        <v>4.0</v>
      </c>
      <c r="E1122" s="30">
        <v>2600.0</v>
      </c>
      <c r="F1122" s="25" t="s">
        <v>10</v>
      </c>
      <c r="G1122" s="38">
        <v>45720.0</v>
      </c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40">
        <v>45705.0</v>
      </c>
      <c r="B1123" s="33" t="s">
        <v>759</v>
      </c>
      <c r="C1123" s="33" t="s">
        <v>9</v>
      </c>
      <c r="D1123" s="29">
        <v>1.0</v>
      </c>
      <c r="E1123" s="30">
        <v>1900.0</v>
      </c>
      <c r="F1123" s="25" t="s">
        <v>10</v>
      </c>
      <c r="G1123" s="38">
        <v>45705.0</v>
      </c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40">
        <v>45705.0</v>
      </c>
      <c r="B1124" s="33" t="s">
        <v>732</v>
      </c>
      <c r="C1124" s="33" t="s">
        <v>143</v>
      </c>
      <c r="D1124" s="29">
        <v>4.0</v>
      </c>
      <c r="E1124" s="39">
        <v>5600.0</v>
      </c>
      <c r="F1124" s="25" t="s">
        <v>10</v>
      </c>
      <c r="G1124" s="38">
        <v>45764.0</v>
      </c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40">
        <v>45706.0</v>
      </c>
      <c r="B1125" s="33" t="s">
        <v>760</v>
      </c>
      <c r="C1125" s="33" t="s">
        <v>9</v>
      </c>
      <c r="D1125" s="29">
        <v>2.0</v>
      </c>
      <c r="E1125" s="30">
        <v>1180.0</v>
      </c>
      <c r="F1125" s="25" t="s">
        <v>10</v>
      </c>
      <c r="G1125" s="38">
        <v>45706.0</v>
      </c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40">
        <v>45706.0</v>
      </c>
      <c r="B1126" s="33" t="s">
        <v>30</v>
      </c>
      <c r="C1126" s="33" t="s">
        <v>9</v>
      </c>
      <c r="D1126" s="29">
        <v>2.0</v>
      </c>
      <c r="E1126" s="30">
        <v>1900.0</v>
      </c>
      <c r="F1126" s="25" t="s">
        <v>10</v>
      </c>
      <c r="G1126" s="38">
        <v>45706.0</v>
      </c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40">
        <v>45706.0</v>
      </c>
      <c r="B1127" s="33" t="s">
        <v>761</v>
      </c>
      <c r="C1127" s="33" t="s">
        <v>133</v>
      </c>
      <c r="D1127" s="29">
        <v>1.0</v>
      </c>
      <c r="E1127" s="30">
        <v>1150.0</v>
      </c>
      <c r="F1127" s="25" t="s">
        <v>10</v>
      </c>
      <c r="G1127" s="38">
        <v>45720.0</v>
      </c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40">
        <v>45707.0</v>
      </c>
      <c r="B1128" s="33" t="s">
        <v>762</v>
      </c>
      <c r="C1128" s="33" t="s">
        <v>83</v>
      </c>
      <c r="D1128" s="29">
        <v>1.0</v>
      </c>
      <c r="E1128" s="30">
        <v>6600.0</v>
      </c>
      <c r="F1128" s="25" t="s">
        <v>10</v>
      </c>
      <c r="G1128" s="38">
        <v>45707.0</v>
      </c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40">
        <v>45708.0</v>
      </c>
      <c r="B1129" s="33" t="s">
        <v>271</v>
      </c>
      <c r="C1129" s="33" t="s">
        <v>9</v>
      </c>
      <c r="D1129" s="29">
        <v>1.0</v>
      </c>
      <c r="E1129" s="30">
        <v>1050.0</v>
      </c>
      <c r="F1129" s="25" t="s">
        <v>10</v>
      </c>
      <c r="G1129" s="38">
        <v>45708.0</v>
      </c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40">
        <v>45708.0</v>
      </c>
      <c r="B1130" s="33" t="s">
        <v>720</v>
      </c>
      <c r="C1130" s="33" t="s">
        <v>143</v>
      </c>
      <c r="D1130" s="29">
        <v>2.0</v>
      </c>
      <c r="E1130" s="39">
        <v>2500.0</v>
      </c>
      <c r="F1130" s="25" t="s">
        <v>10</v>
      </c>
      <c r="G1130" s="38">
        <v>45764.0</v>
      </c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40">
        <v>45708.0</v>
      </c>
      <c r="B1131" s="33" t="s">
        <v>763</v>
      </c>
      <c r="C1131" s="33" t="s">
        <v>83</v>
      </c>
      <c r="D1131" s="29">
        <v>2.0</v>
      </c>
      <c r="E1131" s="30">
        <v>1600.0</v>
      </c>
      <c r="F1131" s="25" t="s">
        <v>10</v>
      </c>
      <c r="G1131" s="38">
        <v>45708.0</v>
      </c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40">
        <v>45708.0</v>
      </c>
      <c r="B1132" s="33" t="s">
        <v>764</v>
      </c>
      <c r="C1132" s="33" t="s">
        <v>83</v>
      </c>
      <c r="D1132" s="29">
        <v>1.0</v>
      </c>
      <c r="E1132" s="30">
        <v>600.0</v>
      </c>
      <c r="F1132" s="25" t="s">
        <v>10</v>
      </c>
      <c r="G1132" s="38">
        <v>45708.0</v>
      </c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40">
        <v>45709.0</v>
      </c>
      <c r="B1133" s="33" t="s">
        <v>196</v>
      </c>
      <c r="C1133" s="33" t="s">
        <v>138</v>
      </c>
      <c r="D1133" s="29">
        <v>2.0</v>
      </c>
      <c r="E1133" s="30">
        <v>1560.0</v>
      </c>
      <c r="F1133" s="25" t="s">
        <v>10</v>
      </c>
      <c r="G1133" s="38">
        <v>45709.0</v>
      </c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40">
        <v>45709.0</v>
      </c>
      <c r="B1134" s="33" t="s">
        <v>529</v>
      </c>
      <c r="C1134" s="33" t="s">
        <v>9</v>
      </c>
      <c r="D1134" s="29">
        <v>4.0</v>
      </c>
      <c r="E1134" s="30">
        <v>2360.0</v>
      </c>
      <c r="F1134" s="25" t="s">
        <v>10</v>
      </c>
      <c r="G1134" s="38">
        <v>45709.0</v>
      </c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40">
        <v>45709.0</v>
      </c>
      <c r="B1135" s="33" t="s">
        <v>654</v>
      </c>
      <c r="C1135" s="33" t="s">
        <v>126</v>
      </c>
      <c r="D1135" s="29">
        <v>2.0</v>
      </c>
      <c r="E1135" s="30">
        <v>6400.0</v>
      </c>
      <c r="F1135" s="25" t="s">
        <v>10</v>
      </c>
      <c r="G1135" s="38">
        <v>45835.0</v>
      </c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40">
        <v>45709.0</v>
      </c>
      <c r="B1136" s="33" t="s">
        <v>765</v>
      </c>
      <c r="C1136" s="33" t="s">
        <v>128</v>
      </c>
      <c r="D1136" s="29">
        <v>1.0</v>
      </c>
      <c r="E1136" s="30">
        <v>1370.0</v>
      </c>
      <c r="F1136" s="25" t="s">
        <v>10</v>
      </c>
      <c r="G1136" s="38">
        <v>45709.0</v>
      </c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40">
        <v>45709.0</v>
      </c>
      <c r="B1137" s="33" t="s">
        <v>22</v>
      </c>
      <c r="C1137" s="33" t="s">
        <v>143</v>
      </c>
      <c r="D1137" s="29">
        <v>2.0</v>
      </c>
      <c r="E1137" s="39">
        <v>2500.0</v>
      </c>
      <c r="F1137" s="25" t="s">
        <v>10</v>
      </c>
      <c r="G1137" s="38">
        <v>45764.0</v>
      </c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40">
        <v>45710.0</v>
      </c>
      <c r="B1138" s="33" t="s">
        <v>548</v>
      </c>
      <c r="C1138" s="33" t="s">
        <v>133</v>
      </c>
      <c r="D1138" s="29">
        <v>1.0</v>
      </c>
      <c r="E1138" s="30">
        <v>750.0</v>
      </c>
      <c r="F1138" s="25" t="s">
        <v>10</v>
      </c>
      <c r="G1138" s="38">
        <v>45720.0</v>
      </c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40">
        <v>45710.0</v>
      </c>
      <c r="B1139" s="33" t="s">
        <v>16</v>
      </c>
      <c r="C1139" s="33" t="s">
        <v>133</v>
      </c>
      <c r="D1139" s="29">
        <v>3.0</v>
      </c>
      <c r="E1139" s="30">
        <v>3300.0</v>
      </c>
      <c r="F1139" s="25" t="s">
        <v>10</v>
      </c>
      <c r="G1139" s="38">
        <v>45712.0</v>
      </c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40">
        <v>45712.0</v>
      </c>
      <c r="B1140" s="33" t="s">
        <v>766</v>
      </c>
      <c r="C1140" s="33" t="s">
        <v>9</v>
      </c>
      <c r="D1140" s="29">
        <v>2.0</v>
      </c>
      <c r="E1140" s="30">
        <v>2100.0</v>
      </c>
      <c r="F1140" s="25" t="s">
        <v>10</v>
      </c>
      <c r="G1140" s="38">
        <v>45712.0</v>
      </c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40">
        <v>45712.0</v>
      </c>
      <c r="B1141" s="33" t="s">
        <v>767</v>
      </c>
      <c r="C1141" s="33" t="s">
        <v>133</v>
      </c>
      <c r="D1141" s="29">
        <v>1.0</v>
      </c>
      <c r="E1141" s="30">
        <v>2380.0</v>
      </c>
      <c r="F1141" s="25" t="s">
        <v>10</v>
      </c>
      <c r="G1141" s="38">
        <v>45720.0</v>
      </c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40">
        <v>45712.0</v>
      </c>
      <c r="B1142" s="33" t="s">
        <v>768</v>
      </c>
      <c r="C1142" s="33" t="s">
        <v>138</v>
      </c>
      <c r="D1142" s="29">
        <v>1.0</v>
      </c>
      <c r="E1142" s="30">
        <v>655.0</v>
      </c>
      <c r="F1142" s="25" t="s">
        <v>10</v>
      </c>
      <c r="G1142" s="38">
        <v>45712.0</v>
      </c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>
      <c r="A1143" s="40">
        <v>45713.0</v>
      </c>
      <c r="B1143" s="33" t="s">
        <v>359</v>
      </c>
      <c r="C1143" s="33" t="s">
        <v>143</v>
      </c>
      <c r="D1143" s="29">
        <v>4.0</v>
      </c>
      <c r="E1143" s="39">
        <v>7200.0</v>
      </c>
      <c r="F1143" s="25" t="s">
        <v>10</v>
      </c>
      <c r="G1143" s="38">
        <v>45787.0</v>
      </c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>
      <c r="A1144" s="40">
        <v>45713.0</v>
      </c>
      <c r="B1144" s="33" t="s">
        <v>769</v>
      </c>
      <c r="C1144" s="33" t="s">
        <v>143</v>
      </c>
      <c r="D1144" s="29">
        <v>2.0</v>
      </c>
      <c r="E1144" s="39">
        <v>3500.0</v>
      </c>
      <c r="F1144" s="25" t="s">
        <v>10</v>
      </c>
      <c r="G1144" s="38">
        <v>45787.0</v>
      </c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>
      <c r="A1145" s="40">
        <v>45713.0</v>
      </c>
      <c r="B1145" s="33" t="s">
        <v>261</v>
      </c>
      <c r="C1145" s="33" t="s">
        <v>143</v>
      </c>
      <c r="D1145" s="29">
        <v>1.0</v>
      </c>
      <c r="E1145" s="39">
        <v>1250.0</v>
      </c>
      <c r="F1145" s="25" t="s">
        <v>10</v>
      </c>
      <c r="G1145" s="38">
        <v>45787.0</v>
      </c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>
      <c r="A1146" s="40">
        <v>45714.0</v>
      </c>
      <c r="B1146" s="33" t="s">
        <v>770</v>
      </c>
      <c r="C1146" s="33" t="s">
        <v>325</v>
      </c>
      <c r="D1146" s="29">
        <v>1.0</v>
      </c>
      <c r="E1146" s="30">
        <v>1530.0</v>
      </c>
      <c r="F1146" s="25" t="s">
        <v>10</v>
      </c>
      <c r="G1146" s="38">
        <v>45803.0</v>
      </c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40">
        <v>45714.0</v>
      </c>
      <c r="B1147" s="33" t="s">
        <v>644</v>
      </c>
      <c r="C1147" s="33" t="s">
        <v>126</v>
      </c>
      <c r="D1147" s="29">
        <v>4.0</v>
      </c>
      <c r="E1147" s="30">
        <v>5520.0</v>
      </c>
      <c r="F1147" s="25" t="s">
        <v>10</v>
      </c>
      <c r="G1147" s="38">
        <v>45835.0</v>
      </c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40">
        <v>45715.0</v>
      </c>
      <c r="B1148" s="33" t="s">
        <v>458</v>
      </c>
      <c r="C1148" s="33" t="s">
        <v>143</v>
      </c>
      <c r="D1148" s="29">
        <v>1.0</v>
      </c>
      <c r="E1148" s="39">
        <v>1150.0</v>
      </c>
      <c r="F1148" s="25" t="s">
        <v>10</v>
      </c>
      <c r="G1148" s="38">
        <v>45787.0</v>
      </c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40">
        <v>45715.0</v>
      </c>
      <c r="B1149" s="33" t="s">
        <v>771</v>
      </c>
      <c r="C1149" s="33" t="s">
        <v>128</v>
      </c>
      <c r="D1149" s="29">
        <v>1.0</v>
      </c>
      <c r="E1149" s="30">
        <v>632.0</v>
      </c>
      <c r="F1149" s="25" t="s">
        <v>10</v>
      </c>
      <c r="G1149" s="38">
        <v>45715.0</v>
      </c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40">
        <v>45716.0</v>
      </c>
      <c r="B1150" s="33" t="s">
        <v>772</v>
      </c>
      <c r="C1150" s="33" t="s">
        <v>9</v>
      </c>
      <c r="D1150" s="29">
        <v>1.0</v>
      </c>
      <c r="E1150" s="30">
        <v>1600.0</v>
      </c>
      <c r="F1150" s="25" t="s">
        <v>10</v>
      </c>
      <c r="G1150" s="38">
        <v>45716.0</v>
      </c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40">
        <v>45716.0</v>
      </c>
      <c r="B1151" s="33" t="s">
        <v>773</v>
      </c>
      <c r="C1151" s="33" t="s">
        <v>138</v>
      </c>
      <c r="D1151" s="29">
        <v>4.0</v>
      </c>
      <c r="E1151" s="30">
        <v>2120.0</v>
      </c>
      <c r="F1151" s="25" t="s">
        <v>10</v>
      </c>
      <c r="G1151" s="38">
        <v>45716.0</v>
      </c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40">
        <v>45716.0</v>
      </c>
      <c r="B1152" s="33" t="s">
        <v>430</v>
      </c>
      <c r="C1152" s="33" t="s">
        <v>159</v>
      </c>
      <c r="D1152" s="29">
        <v>4.0</v>
      </c>
      <c r="E1152" s="30">
        <v>2680.0</v>
      </c>
      <c r="F1152" s="25" t="s">
        <v>10</v>
      </c>
      <c r="G1152" s="38">
        <v>45716.0</v>
      </c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40">
        <v>45716.0</v>
      </c>
      <c r="B1153" s="33" t="s">
        <v>774</v>
      </c>
      <c r="C1153" s="33" t="s">
        <v>126</v>
      </c>
      <c r="D1153" s="29">
        <v>1.0</v>
      </c>
      <c r="E1153" s="30">
        <v>1900.0</v>
      </c>
      <c r="F1153" s="25" t="s">
        <v>10</v>
      </c>
      <c r="G1153" s="38">
        <v>45835.0</v>
      </c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40">
        <v>45717.0</v>
      </c>
      <c r="B1154" s="33" t="s">
        <v>775</v>
      </c>
      <c r="C1154" s="33" t="s">
        <v>133</v>
      </c>
      <c r="D1154" s="29">
        <v>2.0</v>
      </c>
      <c r="E1154" s="39">
        <v>6350.0</v>
      </c>
      <c r="F1154" s="25" t="s">
        <v>10</v>
      </c>
      <c r="G1154" s="38">
        <v>45742.0</v>
      </c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40">
        <v>45719.0</v>
      </c>
      <c r="B1155" s="33" t="s">
        <v>739</v>
      </c>
      <c r="C1155" s="33" t="s">
        <v>156</v>
      </c>
      <c r="D1155" s="29">
        <v>2.0</v>
      </c>
      <c r="E1155" s="30">
        <v>1067.0</v>
      </c>
      <c r="F1155" s="25" t="s">
        <v>10</v>
      </c>
      <c r="G1155" s="38">
        <v>45719.0</v>
      </c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40">
        <v>45719.0</v>
      </c>
      <c r="B1156" s="33" t="s">
        <v>294</v>
      </c>
      <c r="C1156" s="33" t="s">
        <v>133</v>
      </c>
      <c r="D1156" s="29">
        <v>2.0</v>
      </c>
      <c r="E1156" s="39">
        <v>1800.0</v>
      </c>
      <c r="F1156" s="25" t="s">
        <v>10</v>
      </c>
      <c r="G1156" s="38">
        <v>45742.0</v>
      </c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40">
        <v>45719.0</v>
      </c>
      <c r="B1157" s="33" t="s">
        <v>414</v>
      </c>
      <c r="C1157" s="33" t="s">
        <v>126</v>
      </c>
      <c r="D1157" s="29">
        <v>4.0</v>
      </c>
      <c r="E1157" s="39">
        <v>7000.0</v>
      </c>
      <c r="F1157" s="25" t="s">
        <v>10</v>
      </c>
      <c r="G1157" s="38">
        <v>45856.0</v>
      </c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40">
        <v>45720.0</v>
      </c>
      <c r="B1158" s="33" t="s">
        <v>776</v>
      </c>
      <c r="C1158" s="33" t="s">
        <v>143</v>
      </c>
      <c r="D1158" s="29">
        <v>2.0</v>
      </c>
      <c r="E1158" s="30">
        <v>2300.0</v>
      </c>
      <c r="F1158" s="25" t="s">
        <v>10</v>
      </c>
      <c r="G1158" s="38">
        <v>45801.0</v>
      </c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40">
        <v>45720.0</v>
      </c>
      <c r="B1159" s="33" t="s">
        <v>777</v>
      </c>
      <c r="C1159" s="33" t="s">
        <v>126</v>
      </c>
      <c r="D1159" s="29">
        <v>1.0</v>
      </c>
      <c r="E1159" s="39">
        <v>1200.0</v>
      </c>
      <c r="F1159" s="25" t="s">
        <v>10</v>
      </c>
      <c r="G1159" s="38">
        <v>45856.0</v>
      </c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40">
        <v>45721.0</v>
      </c>
      <c r="B1160" s="33" t="s">
        <v>778</v>
      </c>
      <c r="C1160" s="33" t="s">
        <v>136</v>
      </c>
      <c r="D1160" s="29">
        <v>2.0</v>
      </c>
      <c r="E1160" s="30">
        <v>1600.0</v>
      </c>
      <c r="F1160" s="25" t="s">
        <v>10</v>
      </c>
      <c r="G1160" s="38">
        <v>45721.0</v>
      </c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40">
        <v>45722.0</v>
      </c>
      <c r="B1161" s="33" t="s">
        <v>779</v>
      </c>
      <c r="C1161" s="33" t="s">
        <v>138</v>
      </c>
      <c r="D1161" s="29">
        <v>2.0</v>
      </c>
      <c r="E1161" s="30">
        <v>1990.0</v>
      </c>
      <c r="F1161" s="25" t="s">
        <v>10</v>
      </c>
      <c r="G1161" s="38">
        <v>45722.0</v>
      </c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40">
        <v>45723.0</v>
      </c>
      <c r="B1162" s="33" t="s">
        <v>413</v>
      </c>
      <c r="C1162" s="33" t="s">
        <v>83</v>
      </c>
      <c r="D1162" s="29">
        <v>1.0</v>
      </c>
      <c r="E1162" s="30">
        <v>1900.0</v>
      </c>
      <c r="F1162" s="25" t="s">
        <v>10</v>
      </c>
      <c r="G1162" s="38">
        <v>45723.0</v>
      </c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40">
        <v>45726.0</v>
      </c>
      <c r="B1163" s="33" t="s">
        <v>562</v>
      </c>
      <c r="C1163" s="33" t="s">
        <v>133</v>
      </c>
      <c r="D1163" s="29">
        <v>1.0</v>
      </c>
      <c r="E1163" s="39">
        <v>1380.0</v>
      </c>
      <c r="F1163" s="25" t="s">
        <v>10</v>
      </c>
      <c r="G1163" s="38">
        <v>45742.0</v>
      </c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40">
        <v>45727.0</v>
      </c>
      <c r="B1164" s="33" t="s">
        <v>42</v>
      </c>
      <c r="C1164" s="33" t="s">
        <v>143</v>
      </c>
      <c r="D1164" s="29">
        <v>2.0</v>
      </c>
      <c r="E1164" s="30">
        <v>1260.0</v>
      </c>
      <c r="F1164" s="25" t="s">
        <v>10</v>
      </c>
      <c r="G1164" s="38">
        <v>45801.0</v>
      </c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40">
        <v>45728.0</v>
      </c>
      <c r="B1165" s="33" t="s">
        <v>780</v>
      </c>
      <c r="C1165" s="33" t="s">
        <v>138</v>
      </c>
      <c r="D1165" s="29">
        <v>1.0</v>
      </c>
      <c r="E1165" s="30">
        <v>1300.0</v>
      </c>
      <c r="F1165" s="25" t="s">
        <v>10</v>
      </c>
      <c r="G1165" s="38">
        <v>45728.0</v>
      </c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40">
        <v>45728.0</v>
      </c>
      <c r="B1166" s="33" t="s">
        <v>781</v>
      </c>
      <c r="C1166" s="33" t="s">
        <v>83</v>
      </c>
      <c r="D1166" s="29">
        <v>2.0</v>
      </c>
      <c r="E1166" s="30">
        <v>2800.0</v>
      </c>
      <c r="F1166" s="25" t="s">
        <v>10</v>
      </c>
      <c r="G1166" s="38">
        <v>45728.0</v>
      </c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40">
        <v>45728.0</v>
      </c>
      <c r="B1167" s="33" t="s">
        <v>763</v>
      </c>
      <c r="C1167" s="33" t="s">
        <v>143</v>
      </c>
      <c r="D1167" s="29">
        <v>1.0</v>
      </c>
      <c r="E1167" s="30">
        <v>800.0</v>
      </c>
      <c r="F1167" s="25" t="s">
        <v>10</v>
      </c>
      <c r="G1167" s="38">
        <v>45801.0</v>
      </c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40">
        <v>45729.0</v>
      </c>
      <c r="B1168" s="33" t="s">
        <v>461</v>
      </c>
      <c r="C1168" s="33" t="s">
        <v>143</v>
      </c>
      <c r="D1168" s="29">
        <v>2.0</v>
      </c>
      <c r="E1168" s="30">
        <v>2300.0</v>
      </c>
      <c r="F1168" s="25" t="s">
        <v>10</v>
      </c>
      <c r="G1168" s="38">
        <v>45801.0</v>
      </c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40">
        <v>45730.0</v>
      </c>
      <c r="B1169" s="33" t="s">
        <v>782</v>
      </c>
      <c r="C1169" s="33" t="s">
        <v>154</v>
      </c>
      <c r="D1169" s="29">
        <v>4.0</v>
      </c>
      <c r="E1169" s="30">
        <v>3260.0</v>
      </c>
      <c r="F1169" s="25" t="s">
        <v>10</v>
      </c>
      <c r="G1169" s="38">
        <v>45731.0</v>
      </c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40">
        <v>45731.0</v>
      </c>
      <c r="B1170" s="33" t="s">
        <v>783</v>
      </c>
      <c r="C1170" s="33" t="s">
        <v>154</v>
      </c>
      <c r="D1170" s="29">
        <v>1.0</v>
      </c>
      <c r="E1170" s="30">
        <v>1275.0</v>
      </c>
      <c r="F1170" s="25" t="s">
        <v>10</v>
      </c>
      <c r="G1170" s="38">
        <v>45731.0</v>
      </c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40">
        <v>45731.0</v>
      </c>
      <c r="B1171" s="33" t="s">
        <v>784</v>
      </c>
      <c r="C1171" s="33" t="s">
        <v>9</v>
      </c>
      <c r="D1171" s="29">
        <v>1.0</v>
      </c>
      <c r="E1171" s="30">
        <v>2300.0</v>
      </c>
      <c r="F1171" s="25" t="s">
        <v>10</v>
      </c>
      <c r="G1171" s="38">
        <v>45731.0</v>
      </c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40">
        <v>45733.0</v>
      </c>
      <c r="B1172" s="33" t="s">
        <v>744</v>
      </c>
      <c r="C1172" s="33" t="s">
        <v>143</v>
      </c>
      <c r="D1172" s="29">
        <v>2.0</v>
      </c>
      <c r="E1172" s="30">
        <v>1400.0</v>
      </c>
      <c r="F1172" s="25" t="s">
        <v>10</v>
      </c>
      <c r="G1172" s="38">
        <v>45801.0</v>
      </c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40">
        <v>45733.0</v>
      </c>
      <c r="B1173" s="33" t="s">
        <v>430</v>
      </c>
      <c r="C1173" s="33" t="s">
        <v>138</v>
      </c>
      <c r="D1173" s="29">
        <v>1.0</v>
      </c>
      <c r="E1173" s="30">
        <v>620.0</v>
      </c>
      <c r="F1173" s="25" t="s">
        <v>10</v>
      </c>
      <c r="G1173" s="38">
        <v>45733.0</v>
      </c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40">
        <v>45733.0</v>
      </c>
      <c r="B1174" s="33" t="s">
        <v>785</v>
      </c>
      <c r="C1174" s="33" t="s">
        <v>9</v>
      </c>
      <c r="D1174" s="29">
        <v>2.0</v>
      </c>
      <c r="E1174" s="30">
        <v>3300.0</v>
      </c>
      <c r="F1174" s="25" t="s">
        <v>10</v>
      </c>
      <c r="G1174" s="38">
        <v>45733.0</v>
      </c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40">
        <v>45733.0</v>
      </c>
      <c r="B1175" s="33" t="s">
        <v>786</v>
      </c>
      <c r="C1175" s="33" t="s">
        <v>9</v>
      </c>
      <c r="D1175" s="29">
        <v>2.0</v>
      </c>
      <c r="E1175" s="30">
        <v>3300.0</v>
      </c>
      <c r="F1175" s="25" t="s">
        <v>10</v>
      </c>
      <c r="G1175" s="38">
        <v>45733.0</v>
      </c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40">
        <v>45734.0</v>
      </c>
      <c r="B1176" s="33" t="s">
        <v>19</v>
      </c>
      <c r="C1176" s="33" t="s">
        <v>126</v>
      </c>
      <c r="D1176" s="29">
        <v>1.0</v>
      </c>
      <c r="E1176" s="39">
        <v>1320.0</v>
      </c>
      <c r="F1176" s="25" t="s">
        <v>10</v>
      </c>
      <c r="G1176" s="38">
        <v>45856.0</v>
      </c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40">
        <v>45734.0</v>
      </c>
      <c r="B1177" s="33" t="s">
        <v>399</v>
      </c>
      <c r="C1177" s="33" t="s">
        <v>9</v>
      </c>
      <c r="D1177" s="29">
        <v>1.0</v>
      </c>
      <c r="E1177" s="30">
        <v>1700.0</v>
      </c>
      <c r="F1177" s="25" t="s">
        <v>10</v>
      </c>
      <c r="G1177" s="38">
        <v>45734.0</v>
      </c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40">
        <v>45734.0</v>
      </c>
      <c r="B1178" s="33" t="s">
        <v>744</v>
      </c>
      <c r="C1178" s="33" t="s">
        <v>143</v>
      </c>
      <c r="D1178" s="29">
        <v>6.0</v>
      </c>
      <c r="E1178" s="30">
        <v>4200.0</v>
      </c>
      <c r="F1178" s="25" t="s">
        <v>10</v>
      </c>
      <c r="G1178" s="38">
        <v>45801.0</v>
      </c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40">
        <v>45734.0</v>
      </c>
      <c r="B1179" s="33" t="s">
        <v>787</v>
      </c>
      <c r="C1179" s="33" t="s">
        <v>143</v>
      </c>
      <c r="D1179" s="29">
        <v>4.0</v>
      </c>
      <c r="E1179" s="30">
        <v>5600.0</v>
      </c>
      <c r="F1179" s="25" t="s">
        <v>10</v>
      </c>
      <c r="G1179" s="38">
        <v>45781.0</v>
      </c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40">
        <v>45735.0</v>
      </c>
      <c r="B1180" s="33" t="s">
        <v>788</v>
      </c>
      <c r="C1180" s="33" t="s">
        <v>138</v>
      </c>
      <c r="D1180" s="29">
        <v>2.0</v>
      </c>
      <c r="E1180" s="30">
        <v>1170.0</v>
      </c>
      <c r="F1180" s="25" t="s">
        <v>10</v>
      </c>
      <c r="G1180" s="38">
        <v>45735.0</v>
      </c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40">
        <v>45735.0</v>
      </c>
      <c r="B1181" s="33" t="s">
        <v>789</v>
      </c>
      <c r="C1181" s="33" t="s">
        <v>9</v>
      </c>
      <c r="D1181" s="29">
        <v>2.0</v>
      </c>
      <c r="E1181" s="30">
        <v>2160.0</v>
      </c>
      <c r="F1181" s="25" t="s">
        <v>10</v>
      </c>
      <c r="G1181" s="38">
        <v>45735.0</v>
      </c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40">
        <v>45735.0</v>
      </c>
      <c r="B1182" s="33" t="s">
        <v>694</v>
      </c>
      <c r="C1182" s="33" t="s">
        <v>9</v>
      </c>
      <c r="D1182" s="29">
        <v>4.0</v>
      </c>
      <c r="E1182" s="30">
        <v>2480.0</v>
      </c>
      <c r="F1182" s="25" t="s">
        <v>10</v>
      </c>
      <c r="G1182" s="38">
        <v>45735.0</v>
      </c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40">
        <v>45735.0</v>
      </c>
      <c r="B1183" s="33" t="s">
        <v>790</v>
      </c>
      <c r="C1183" s="33" t="s">
        <v>133</v>
      </c>
      <c r="D1183" s="29">
        <v>4.0</v>
      </c>
      <c r="E1183" s="39">
        <v>5200.0</v>
      </c>
      <c r="F1183" s="25" t="s">
        <v>10</v>
      </c>
      <c r="G1183" s="38">
        <v>45742.0</v>
      </c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40">
        <v>45736.0</v>
      </c>
      <c r="B1184" s="33" t="s">
        <v>720</v>
      </c>
      <c r="C1184" s="33" t="s">
        <v>133</v>
      </c>
      <c r="D1184" s="29">
        <v>1.0</v>
      </c>
      <c r="E1184" s="39">
        <v>1200.0</v>
      </c>
      <c r="F1184" s="25" t="s">
        <v>10</v>
      </c>
      <c r="G1184" s="38">
        <v>45742.0</v>
      </c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40">
        <v>45736.0</v>
      </c>
      <c r="B1185" s="33" t="s">
        <v>388</v>
      </c>
      <c r="C1185" s="33" t="s">
        <v>128</v>
      </c>
      <c r="D1185" s="29">
        <v>2.0</v>
      </c>
      <c r="E1185" s="30">
        <v>1196.0</v>
      </c>
      <c r="F1185" s="25" t="s">
        <v>10</v>
      </c>
      <c r="G1185" s="38">
        <v>45736.0</v>
      </c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40">
        <v>45736.0</v>
      </c>
      <c r="B1186" s="33" t="s">
        <v>744</v>
      </c>
      <c r="C1186" s="33" t="s">
        <v>504</v>
      </c>
      <c r="D1186" s="29">
        <v>4.0</v>
      </c>
      <c r="E1186" s="30">
        <v>2794.0</v>
      </c>
      <c r="F1186" s="25" t="s">
        <v>10</v>
      </c>
      <c r="G1186" s="38">
        <v>45740.0</v>
      </c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40">
        <v>45736.0</v>
      </c>
      <c r="B1187" s="33" t="s">
        <v>791</v>
      </c>
      <c r="C1187" s="33" t="s">
        <v>143</v>
      </c>
      <c r="D1187" s="29">
        <v>1.0</v>
      </c>
      <c r="E1187" s="30">
        <v>1500.0</v>
      </c>
      <c r="F1187" s="25" t="s">
        <v>10</v>
      </c>
      <c r="G1187" s="38">
        <v>45738.0</v>
      </c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40">
        <v>45738.0</v>
      </c>
      <c r="B1188" s="33" t="s">
        <v>792</v>
      </c>
      <c r="C1188" s="33" t="s">
        <v>143</v>
      </c>
      <c r="D1188" s="29">
        <v>2.0</v>
      </c>
      <c r="E1188" s="30">
        <v>2200.0</v>
      </c>
      <c r="F1188" s="25" t="s">
        <v>10</v>
      </c>
      <c r="G1188" s="38">
        <v>45742.0</v>
      </c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40">
        <v>45738.0</v>
      </c>
      <c r="B1189" s="33" t="s">
        <v>94</v>
      </c>
      <c r="C1189" s="33" t="s">
        <v>143</v>
      </c>
      <c r="D1189" s="29">
        <v>2.0</v>
      </c>
      <c r="E1189" s="30">
        <v>3700.0</v>
      </c>
      <c r="F1189" s="25" t="s">
        <v>10</v>
      </c>
      <c r="G1189" s="38">
        <v>45831.0</v>
      </c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>
      <c r="A1190" s="40">
        <v>45740.0</v>
      </c>
      <c r="B1190" s="33" t="s">
        <v>201</v>
      </c>
      <c r="C1190" s="33" t="s">
        <v>138</v>
      </c>
      <c r="D1190" s="29">
        <v>1.0</v>
      </c>
      <c r="E1190" s="30">
        <v>470.0</v>
      </c>
      <c r="F1190" s="25" t="s">
        <v>10</v>
      </c>
      <c r="G1190" s="38">
        <v>45740.0</v>
      </c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>
      <c r="A1191" s="40">
        <v>45740.0</v>
      </c>
      <c r="B1191" s="33" t="s">
        <v>372</v>
      </c>
      <c r="C1191" s="33" t="s">
        <v>83</v>
      </c>
      <c r="D1191" s="29">
        <v>2.0</v>
      </c>
      <c r="E1191" s="30">
        <v>2400.0</v>
      </c>
      <c r="F1191" s="25" t="s">
        <v>10</v>
      </c>
      <c r="G1191" s="38">
        <v>45740.0</v>
      </c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>
      <c r="A1192" s="40">
        <v>45741.0</v>
      </c>
      <c r="B1192" s="33" t="s">
        <v>403</v>
      </c>
      <c r="C1192" s="33" t="s">
        <v>9</v>
      </c>
      <c r="D1192" s="29">
        <v>1.0</v>
      </c>
      <c r="E1192" s="30">
        <v>1050.0</v>
      </c>
      <c r="F1192" s="25" t="s">
        <v>10</v>
      </c>
      <c r="G1192" s="38">
        <v>45741.0</v>
      </c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>
      <c r="A1193" s="40">
        <v>45741.0</v>
      </c>
      <c r="B1193" s="33" t="s">
        <v>793</v>
      </c>
      <c r="C1193" s="33" t="s">
        <v>133</v>
      </c>
      <c r="D1193" s="29">
        <v>4.0</v>
      </c>
      <c r="E1193" s="30">
        <v>5880.0</v>
      </c>
      <c r="F1193" s="25" t="s">
        <v>10</v>
      </c>
      <c r="G1193" s="38">
        <v>45742.0</v>
      </c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>
      <c r="A1194" s="40">
        <v>45742.0</v>
      </c>
      <c r="B1194" s="33" t="s">
        <v>38</v>
      </c>
      <c r="C1194" s="33" t="s">
        <v>143</v>
      </c>
      <c r="D1194" s="29">
        <v>1.0</v>
      </c>
      <c r="E1194" s="30">
        <v>1250.0</v>
      </c>
      <c r="F1194" s="25" t="s">
        <v>10</v>
      </c>
      <c r="G1194" s="38">
        <v>45831.0</v>
      </c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>
      <c r="A1195" s="40">
        <v>45742.0</v>
      </c>
      <c r="B1195" s="33" t="s">
        <v>794</v>
      </c>
      <c r="C1195" s="33" t="s">
        <v>143</v>
      </c>
      <c r="D1195" s="29">
        <v>4.0</v>
      </c>
      <c r="E1195" s="30">
        <v>2520.0</v>
      </c>
      <c r="F1195" s="25" t="s">
        <v>10</v>
      </c>
      <c r="G1195" s="38">
        <v>45831.0</v>
      </c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>
      <c r="A1196" s="40">
        <v>45743.0</v>
      </c>
      <c r="B1196" s="33" t="s">
        <v>303</v>
      </c>
      <c r="C1196" s="33" t="s">
        <v>159</v>
      </c>
      <c r="D1196" s="29">
        <v>2.0</v>
      </c>
      <c r="E1196" s="30">
        <v>1960.0</v>
      </c>
      <c r="F1196" s="25" t="s">
        <v>10</v>
      </c>
      <c r="G1196" s="38">
        <v>45744.0</v>
      </c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>
      <c r="A1197" s="40">
        <v>45743.0</v>
      </c>
      <c r="B1197" s="33" t="s">
        <v>493</v>
      </c>
      <c r="C1197" s="33" t="s">
        <v>133</v>
      </c>
      <c r="D1197" s="29">
        <v>2.0</v>
      </c>
      <c r="E1197" s="30">
        <v>2200.0</v>
      </c>
      <c r="F1197" s="25" t="s">
        <v>10</v>
      </c>
      <c r="G1197" s="38">
        <v>45744.0</v>
      </c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>
      <c r="A1198" s="40">
        <v>45743.0</v>
      </c>
      <c r="B1198" s="33" t="s">
        <v>795</v>
      </c>
      <c r="C1198" s="33" t="s">
        <v>9</v>
      </c>
      <c r="D1198" s="29">
        <v>1.0</v>
      </c>
      <c r="E1198" s="30">
        <v>1900.0</v>
      </c>
      <c r="F1198" s="25" t="s">
        <v>10</v>
      </c>
      <c r="G1198" s="38">
        <v>45743.0</v>
      </c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>
      <c r="A1199" s="40">
        <v>45744.0</v>
      </c>
      <c r="B1199" s="33" t="s">
        <v>546</v>
      </c>
      <c r="C1199" s="33" t="s">
        <v>128</v>
      </c>
      <c r="D1199" s="29">
        <v>2.0</v>
      </c>
      <c r="E1199" s="30">
        <v>1867.0</v>
      </c>
      <c r="F1199" s="25" t="s">
        <v>10</v>
      </c>
      <c r="G1199" s="38">
        <v>45744.0</v>
      </c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>
      <c r="A1200" s="40">
        <v>45744.0</v>
      </c>
      <c r="B1200" s="33" t="s">
        <v>359</v>
      </c>
      <c r="C1200" s="33" t="s">
        <v>126</v>
      </c>
      <c r="D1200" s="29">
        <v>1.0</v>
      </c>
      <c r="E1200" s="39">
        <v>1750.0</v>
      </c>
      <c r="F1200" s="25" t="s">
        <v>10</v>
      </c>
      <c r="G1200" s="38">
        <v>45856.0</v>
      </c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>
      <c r="A1201" s="40">
        <v>45744.0</v>
      </c>
      <c r="B1201" s="33" t="s">
        <v>638</v>
      </c>
      <c r="C1201" s="33" t="s">
        <v>83</v>
      </c>
      <c r="D1201" s="29">
        <v>1.0</v>
      </c>
      <c r="E1201" s="30">
        <v>600.0</v>
      </c>
      <c r="F1201" s="25" t="s">
        <v>10</v>
      </c>
      <c r="G1201" s="38">
        <v>45744.0</v>
      </c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>
      <c r="A1202" s="40">
        <v>45745.0</v>
      </c>
      <c r="B1202" s="33" t="s">
        <v>620</v>
      </c>
      <c r="C1202" s="33" t="s">
        <v>154</v>
      </c>
      <c r="D1202" s="29">
        <v>1.0</v>
      </c>
      <c r="E1202" s="30">
        <v>1314.0</v>
      </c>
      <c r="F1202" s="25" t="s">
        <v>10</v>
      </c>
      <c r="G1202" s="38">
        <v>45745.0</v>
      </c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>
      <c r="A1203" s="40">
        <v>45745.0</v>
      </c>
      <c r="B1203" s="33" t="s">
        <v>258</v>
      </c>
      <c r="C1203" s="33" t="s">
        <v>138</v>
      </c>
      <c r="D1203" s="29">
        <v>1.0</v>
      </c>
      <c r="E1203" s="30">
        <v>460.0</v>
      </c>
      <c r="F1203" s="25" t="s">
        <v>10</v>
      </c>
      <c r="G1203" s="38">
        <v>45745.0</v>
      </c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>
      <c r="A1204" s="40">
        <v>45745.0</v>
      </c>
      <c r="B1204" s="33" t="s">
        <v>655</v>
      </c>
      <c r="C1204" s="33" t="s">
        <v>133</v>
      </c>
      <c r="D1204" s="29">
        <v>2.0</v>
      </c>
      <c r="E1204" s="39">
        <v>2400.0</v>
      </c>
      <c r="F1204" s="25" t="s">
        <v>10</v>
      </c>
      <c r="G1204" s="38">
        <v>45765.0</v>
      </c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>
      <c r="A1205" s="40">
        <v>45749.0</v>
      </c>
      <c r="B1205" s="33" t="s">
        <v>594</v>
      </c>
      <c r="C1205" s="33" t="s">
        <v>156</v>
      </c>
      <c r="D1205" s="29">
        <v>1.0</v>
      </c>
      <c r="E1205" s="30">
        <v>825.0</v>
      </c>
      <c r="F1205" s="25" t="s">
        <v>10</v>
      </c>
      <c r="G1205" s="38">
        <v>45750.0</v>
      </c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>
      <c r="A1206" s="40">
        <v>45750.0</v>
      </c>
      <c r="B1206" s="33" t="s">
        <v>674</v>
      </c>
      <c r="C1206" s="33" t="s">
        <v>143</v>
      </c>
      <c r="D1206" s="29">
        <v>1.0</v>
      </c>
      <c r="E1206" s="30">
        <v>2000.0</v>
      </c>
      <c r="F1206" s="25" t="s">
        <v>10</v>
      </c>
      <c r="G1206" s="38">
        <v>45831.0</v>
      </c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>
      <c r="A1207" s="40">
        <v>45750.0</v>
      </c>
      <c r="B1207" s="33" t="s">
        <v>796</v>
      </c>
      <c r="C1207" s="33" t="s">
        <v>133</v>
      </c>
      <c r="D1207" s="29">
        <v>2.0</v>
      </c>
      <c r="E1207" s="39">
        <v>2600.0</v>
      </c>
      <c r="F1207" s="25" t="s">
        <v>10</v>
      </c>
      <c r="G1207" s="38">
        <v>45765.0</v>
      </c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>
      <c r="A1208" s="40">
        <v>45751.0</v>
      </c>
      <c r="B1208" s="33" t="s">
        <v>652</v>
      </c>
      <c r="C1208" s="33" t="s">
        <v>83</v>
      </c>
      <c r="D1208" s="29">
        <v>4.0</v>
      </c>
      <c r="E1208" s="30">
        <v>3320.0</v>
      </c>
      <c r="F1208" s="25" t="s">
        <v>10</v>
      </c>
      <c r="G1208" s="38">
        <v>45752.0</v>
      </c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>
      <c r="A1209" s="40">
        <v>45751.0</v>
      </c>
      <c r="B1209" s="33" t="s">
        <v>797</v>
      </c>
      <c r="C1209" s="33" t="s">
        <v>9</v>
      </c>
      <c r="D1209" s="29">
        <v>2.0</v>
      </c>
      <c r="E1209" s="30">
        <v>2100.0</v>
      </c>
      <c r="F1209" s="25" t="s">
        <v>10</v>
      </c>
      <c r="G1209" s="38">
        <v>45751.0</v>
      </c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>
      <c r="A1210" s="40">
        <v>45751.0</v>
      </c>
      <c r="B1210" s="33" t="s">
        <v>798</v>
      </c>
      <c r="C1210" s="33" t="s">
        <v>138</v>
      </c>
      <c r="D1210" s="29">
        <v>1.0</v>
      </c>
      <c r="E1210" s="30">
        <v>2100.0</v>
      </c>
      <c r="F1210" s="25" t="s">
        <v>10</v>
      </c>
      <c r="G1210" s="38">
        <v>45751.0</v>
      </c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>
      <c r="A1211" s="40">
        <v>45751.0</v>
      </c>
      <c r="B1211" s="33" t="s">
        <v>799</v>
      </c>
      <c r="C1211" s="33" t="s">
        <v>133</v>
      </c>
      <c r="D1211" s="29">
        <v>2.0</v>
      </c>
      <c r="E1211" s="39">
        <v>5120.0</v>
      </c>
      <c r="F1211" s="25" t="s">
        <v>10</v>
      </c>
      <c r="G1211" s="38">
        <v>45765.0</v>
      </c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40">
        <v>45754.0</v>
      </c>
      <c r="B1212" s="33" t="s">
        <v>200</v>
      </c>
      <c r="C1212" s="33" t="s">
        <v>9</v>
      </c>
      <c r="D1212" s="29">
        <v>2.0</v>
      </c>
      <c r="E1212" s="30">
        <v>1340.0</v>
      </c>
      <c r="F1212" s="25" t="s">
        <v>10</v>
      </c>
      <c r="G1212" s="38">
        <v>45754.0</v>
      </c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>
      <c r="A1213" s="40">
        <v>45754.0</v>
      </c>
      <c r="B1213" s="33" t="s">
        <v>800</v>
      </c>
      <c r="C1213" s="33" t="s">
        <v>159</v>
      </c>
      <c r="D1213" s="29">
        <v>2.0</v>
      </c>
      <c r="E1213" s="30">
        <v>1800.0</v>
      </c>
      <c r="F1213" s="25" t="s">
        <v>10</v>
      </c>
      <c r="G1213" s="38">
        <v>45754.0</v>
      </c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>
      <c r="A1214" s="40">
        <v>45755.0</v>
      </c>
      <c r="B1214" s="33" t="s">
        <v>801</v>
      </c>
      <c r="C1214" s="33" t="s">
        <v>138</v>
      </c>
      <c r="D1214" s="29">
        <v>1.0</v>
      </c>
      <c r="E1214" s="30">
        <v>970.0</v>
      </c>
      <c r="F1214" s="25" t="s">
        <v>10</v>
      </c>
      <c r="G1214" s="38">
        <v>45755.0</v>
      </c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40">
        <v>45755.0</v>
      </c>
      <c r="B1215" s="33" t="s">
        <v>802</v>
      </c>
      <c r="C1215" s="33" t="s">
        <v>128</v>
      </c>
      <c r="D1215" s="29">
        <v>3.0</v>
      </c>
      <c r="E1215" s="30">
        <v>2320.0</v>
      </c>
      <c r="F1215" s="25" t="s">
        <v>10</v>
      </c>
      <c r="G1215" s="38">
        <v>45755.0</v>
      </c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40">
        <v>45755.0</v>
      </c>
      <c r="B1216" s="33" t="s">
        <v>803</v>
      </c>
      <c r="C1216" s="33" t="s">
        <v>9</v>
      </c>
      <c r="D1216" s="29">
        <v>2.0</v>
      </c>
      <c r="E1216" s="30">
        <v>2100.0</v>
      </c>
      <c r="F1216" s="25" t="s">
        <v>10</v>
      </c>
      <c r="G1216" s="38">
        <v>45755.0</v>
      </c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40">
        <v>45755.0</v>
      </c>
      <c r="B1217" s="33" t="s">
        <v>804</v>
      </c>
      <c r="C1217" s="33" t="s">
        <v>9</v>
      </c>
      <c r="D1217" s="29">
        <v>1.0</v>
      </c>
      <c r="E1217" s="30">
        <v>2450.0</v>
      </c>
      <c r="F1217" s="25" t="s">
        <v>10</v>
      </c>
      <c r="G1217" s="38">
        <v>45775.0</v>
      </c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40">
        <v>45756.0</v>
      </c>
      <c r="B1218" s="33" t="s">
        <v>369</v>
      </c>
      <c r="C1218" s="33" t="s">
        <v>504</v>
      </c>
      <c r="D1218" s="29">
        <v>4.0</v>
      </c>
      <c r="E1218" s="30">
        <v>2716.0</v>
      </c>
      <c r="F1218" s="25" t="s">
        <v>10</v>
      </c>
      <c r="G1218" s="38">
        <v>45757.0</v>
      </c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40">
        <v>45756.0</v>
      </c>
      <c r="B1219" s="33" t="s">
        <v>744</v>
      </c>
      <c r="C1219" s="33" t="s">
        <v>504</v>
      </c>
      <c r="D1219" s="29">
        <v>4.0</v>
      </c>
      <c r="E1219" s="30">
        <v>2793.6</v>
      </c>
      <c r="F1219" s="25" t="s">
        <v>10</v>
      </c>
      <c r="G1219" s="38">
        <v>45757.0</v>
      </c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40">
        <v>45756.0</v>
      </c>
      <c r="B1220" s="33" t="s">
        <v>436</v>
      </c>
      <c r="C1220" s="33" t="s">
        <v>83</v>
      </c>
      <c r="D1220" s="29">
        <v>1.0</v>
      </c>
      <c r="E1220" s="30">
        <v>780.0</v>
      </c>
      <c r="F1220" s="25" t="s">
        <v>10</v>
      </c>
      <c r="G1220" s="38">
        <v>45756.0</v>
      </c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40">
        <v>45756.0</v>
      </c>
      <c r="B1221" s="33" t="s">
        <v>436</v>
      </c>
      <c r="C1221" s="33" t="s">
        <v>159</v>
      </c>
      <c r="D1221" s="29">
        <v>1.0</v>
      </c>
      <c r="E1221" s="30">
        <v>700.0</v>
      </c>
      <c r="F1221" s="25" t="s">
        <v>10</v>
      </c>
      <c r="G1221" s="38">
        <v>45756.0</v>
      </c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40">
        <v>45756.0</v>
      </c>
      <c r="B1222" s="33" t="s">
        <v>805</v>
      </c>
      <c r="C1222" s="33" t="s">
        <v>128</v>
      </c>
      <c r="D1222" s="29">
        <v>4.0</v>
      </c>
      <c r="E1222" s="30">
        <v>2062.0</v>
      </c>
      <c r="F1222" s="25" t="s">
        <v>10</v>
      </c>
      <c r="G1222" s="38">
        <v>45756.0</v>
      </c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40">
        <v>45757.0</v>
      </c>
      <c r="B1223" s="33" t="s">
        <v>37</v>
      </c>
      <c r="C1223" s="33" t="s">
        <v>138</v>
      </c>
      <c r="D1223" s="29">
        <v>1.0</v>
      </c>
      <c r="E1223" s="30">
        <v>655.0</v>
      </c>
      <c r="F1223" s="25" t="s">
        <v>10</v>
      </c>
      <c r="G1223" s="38">
        <v>45757.0</v>
      </c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 ht="14.25" customHeight="1">
      <c r="A1224" s="40">
        <v>45757.0</v>
      </c>
      <c r="B1224" s="33" t="s">
        <v>806</v>
      </c>
      <c r="C1224" s="33" t="s">
        <v>83</v>
      </c>
      <c r="D1224" s="29">
        <v>2.0</v>
      </c>
      <c r="E1224" s="30">
        <v>3700.0</v>
      </c>
      <c r="F1224" s="25" t="s">
        <v>10</v>
      </c>
      <c r="G1224" s="38">
        <v>45757.0</v>
      </c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 ht="14.25" customHeight="1">
      <c r="A1225" s="40">
        <v>45757.0</v>
      </c>
      <c r="B1225" s="33" t="s">
        <v>100</v>
      </c>
      <c r="C1225" s="33" t="s">
        <v>133</v>
      </c>
      <c r="D1225" s="29">
        <v>6.0</v>
      </c>
      <c r="E1225" s="39">
        <v>4500.0</v>
      </c>
      <c r="F1225" s="25" t="s">
        <v>10</v>
      </c>
      <c r="G1225" s="38">
        <v>45772.0</v>
      </c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 ht="14.25" customHeight="1">
      <c r="A1226" s="40">
        <v>45758.0</v>
      </c>
      <c r="B1226" s="33" t="s">
        <v>483</v>
      </c>
      <c r="C1226" s="33" t="s">
        <v>133</v>
      </c>
      <c r="D1226" s="29">
        <v>2.0</v>
      </c>
      <c r="E1226" s="39">
        <v>910.0</v>
      </c>
      <c r="F1226" s="25" t="s">
        <v>10</v>
      </c>
      <c r="G1226" s="38">
        <v>45772.0</v>
      </c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 ht="14.25" customHeight="1">
      <c r="A1227" s="40">
        <v>45758.0</v>
      </c>
      <c r="B1227" s="33" t="s">
        <v>461</v>
      </c>
      <c r="C1227" s="33" t="s">
        <v>154</v>
      </c>
      <c r="D1227" s="29">
        <v>1.0</v>
      </c>
      <c r="E1227" s="30">
        <v>1144.0</v>
      </c>
      <c r="F1227" s="25" t="s">
        <v>10</v>
      </c>
      <c r="G1227" s="38">
        <v>45758.0</v>
      </c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 ht="14.25" customHeight="1">
      <c r="A1228" s="40">
        <v>45758.0</v>
      </c>
      <c r="B1228" s="33" t="s">
        <v>807</v>
      </c>
      <c r="C1228" s="33" t="s">
        <v>126</v>
      </c>
      <c r="D1228" s="29">
        <v>2.0</v>
      </c>
      <c r="E1228" s="39">
        <v>3000.0</v>
      </c>
      <c r="F1228" s="25" t="s">
        <v>10</v>
      </c>
      <c r="G1228" s="38">
        <v>45856.0</v>
      </c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 ht="14.25" customHeight="1">
      <c r="A1229" s="40">
        <v>45758.0</v>
      </c>
      <c r="B1229" s="33" t="s">
        <v>808</v>
      </c>
      <c r="C1229" s="33" t="s">
        <v>133</v>
      </c>
      <c r="D1229" s="29">
        <v>1.0</v>
      </c>
      <c r="E1229" s="39">
        <v>1300.0</v>
      </c>
      <c r="F1229" s="25" t="s">
        <v>10</v>
      </c>
      <c r="G1229" s="38">
        <v>45772.0</v>
      </c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 ht="14.25" customHeight="1">
      <c r="A1230" s="40">
        <v>45758.0</v>
      </c>
      <c r="B1230" s="33" t="s">
        <v>809</v>
      </c>
      <c r="C1230" s="33" t="s">
        <v>138</v>
      </c>
      <c r="D1230" s="29">
        <v>2.0</v>
      </c>
      <c r="E1230" s="30">
        <v>1530.0</v>
      </c>
      <c r="F1230" s="25" t="s">
        <v>10</v>
      </c>
      <c r="G1230" s="38">
        <v>45758.0</v>
      </c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 ht="14.25" customHeight="1">
      <c r="A1231" s="40">
        <v>45758.0</v>
      </c>
      <c r="B1231" s="33" t="s">
        <v>197</v>
      </c>
      <c r="C1231" s="33" t="s">
        <v>325</v>
      </c>
      <c r="D1231" s="29">
        <v>2.0</v>
      </c>
      <c r="E1231" s="30">
        <v>2540.0</v>
      </c>
      <c r="F1231" s="25" t="s">
        <v>10</v>
      </c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 ht="14.25" customHeight="1">
      <c r="A1232" s="40">
        <v>45758.0</v>
      </c>
      <c r="B1232" s="33" t="s">
        <v>514</v>
      </c>
      <c r="C1232" s="33" t="s">
        <v>9</v>
      </c>
      <c r="D1232" s="29">
        <v>2.0</v>
      </c>
      <c r="E1232" s="30">
        <v>2000.0</v>
      </c>
      <c r="F1232" s="25" t="s">
        <v>10</v>
      </c>
      <c r="G1232" s="38">
        <v>45759.0</v>
      </c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 ht="14.25" customHeight="1">
      <c r="A1233" s="40">
        <v>45758.0</v>
      </c>
      <c r="B1233" s="33" t="s">
        <v>589</v>
      </c>
      <c r="C1233" s="33" t="s">
        <v>133</v>
      </c>
      <c r="D1233" s="29">
        <v>2.0</v>
      </c>
      <c r="E1233" s="39">
        <v>2100.0</v>
      </c>
      <c r="F1233" s="25" t="s">
        <v>10</v>
      </c>
      <c r="G1233" s="38">
        <v>45777.0</v>
      </c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 ht="14.25" customHeight="1">
      <c r="A1234" s="40">
        <v>45758.0</v>
      </c>
      <c r="B1234" s="33" t="s">
        <v>810</v>
      </c>
      <c r="C1234" s="33" t="s">
        <v>133</v>
      </c>
      <c r="D1234" s="29">
        <v>4.0</v>
      </c>
      <c r="E1234" s="39">
        <v>5400.0</v>
      </c>
      <c r="F1234" s="25" t="s">
        <v>10</v>
      </c>
      <c r="G1234" s="38">
        <v>45777.0</v>
      </c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 ht="14.25" customHeight="1">
      <c r="A1235" s="40">
        <v>45761.0</v>
      </c>
      <c r="B1235" s="33" t="s">
        <v>653</v>
      </c>
      <c r="C1235" s="33" t="s">
        <v>9</v>
      </c>
      <c r="D1235" s="29">
        <v>2.0</v>
      </c>
      <c r="E1235" s="30">
        <v>1060.0</v>
      </c>
      <c r="F1235" s="25" t="s">
        <v>10</v>
      </c>
      <c r="G1235" s="38">
        <v>45761.0</v>
      </c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 ht="14.25" customHeight="1">
      <c r="A1236" s="40">
        <v>45761.0</v>
      </c>
      <c r="B1236" s="33" t="s">
        <v>303</v>
      </c>
      <c r="C1236" s="33" t="s">
        <v>133</v>
      </c>
      <c r="D1236" s="29">
        <v>2.0</v>
      </c>
      <c r="E1236" s="39">
        <v>1800.0</v>
      </c>
      <c r="F1236" s="25" t="s">
        <v>10</v>
      </c>
      <c r="G1236" s="38">
        <v>45777.0</v>
      </c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 ht="14.25" customHeight="1">
      <c r="A1237" s="40">
        <v>45761.0</v>
      </c>
      <c r="B1237" s="33" t="s">
        <v>78</v>
      </c>
      <c r="C1237" s="33" t="s">
        <v>143</v>
      </c>
      <c r="D1237" s="29">
        <v>1.0</v>
      </c>
      <c r="E1237" s="30">
        <v>950.0</v>
      </c>
      <c r="F1237" s="25" t="s">
        <v>10</v>
      </c>
      <c r="G1237" s="38">
        <v>45831.0</v>
      </c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 ht="14.25" customHeight="1">
      <c r="A1238" s="40">
        <v>45761.0</v>
      </c>
      <c r="B1238" s="33" t="s">
        <v>78</v>
      </c>
      <c r="C1238" s="33" t="s">
        <v>138</v>
      </c>
      <c r="D1238" s="29">
        <v>3.0</v>
      </c>
      <c r="E1238" s="30">
        <v>2640.0</v>
      </c>
      <c r="F1238" s="25" t="s">
        <v>10</v>
      </c>
      <c r="G1238" s="38">
        <v>45761.0</v>
      </c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 ht="14.25" customHeight="1">
      <c r="A1239" s="40">
        <v>45761.0</v>
      </c>
      <c r="B1239" s="33" t="s">
        <v>61</v>
      </c>
      <c r="C1239" s="33" t="s">
        <v>9</v>
      </c>
      <c r="D1239" s="29">
        <v>2.0</v>
      </c>
      <c r="E1239" s="30">
        <v>1160.0</v>
      </c>
      <c r="F1239" s="25" t="s">
        <v>10</v>
      </c>
      <c r="G1239" s="38">
        <v>45761.0</v>
      </c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 ht="14.25" customHeight="1">
      <c r="A1240" s="40">
        <v>45762.0</v>
      </c>
      <c r="B1240" s="33" t="s">
        <v>551</v>
      </c>
      <c r="C1240" s="33" t="s">
        <v>143</v>
      </c>
      <c r="D1240" s="29">
        <v>2.0</v>
      </c>
      <c r="E1240" s="30">
        <v>2300.0</v>
      </c>
      <c r="F1240" s="25" t="s">
        <v>10</v>
      </c>
      <c r="G1240" s="38">
        <v>45841.0</v>
      </c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 ht="14.25" customHeight="1">
      <c r="A1241" s="40">
        <v>45762.0</v>
      </c>
      <c r="B1241" s="33" t="s">
        <v>43</v>
      </c>
      <c r="C1241" s="33" t="s">
        <v>133</v>
      </c>
      <c r="D1241" s="29">
        <v>2.0</v>
      </c>
      <c r="E1241" s="39">
        <v>1800.0</v>
      </c>
      <c r="F1241" s="25" t="s">
        <v>10</v>
      </c>
      <c r="G1241" s="38">
        <v>45784.0</v>
      </c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 ht="14.25" customHeight="1">
      <c r="A1242" s="40">
        <v>45762.0</v>
      </c>
      <c r="B1242" s="33" t="s">
        <v>389</v>
      </c>
      <c r="C1242" s="33" t="s">
        <v>138</v>
      </c>
      <c r="D1242" s="29">
        <v>3.0</v>
      </c>
      <c r="E1242" s="30">
        <v>3240.0</v>
      </c>
      <c r="F1242" s="25" t="s">
        <v>10</v>
      </c>
      <c r="G1242" s="38">
        <v>45762.0</v>
      </c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 ht="14.25" customHeight="1">
      <c r="A1243" s="40">
        <v>45762.0</v>
      </c>
      <c r="B1243" s="33" t="s">
        <v>811</v>
      </c>
      <c r="C1243" s="33" t="s">
        <v>143</v>
      </c>
      <c r="D1243" s="29">
        <v>2.0</v>
      </c>
      <c r="E1243" s="30">
        <v>3400.0</v>
      </c>
      <c r="F1243" s="25" t="s">
        <v>10</v>
      </c>
      <c r="G1243" s="38">
        <v>45841.0</v>
      </c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 ht="14.25" customHeight="1">
      <c r="A1244" s="40">
        <v>45762.0</v>
      </c>
      <c r="B1244" s="33" t="s">
        <v>812</v>
      </c>
      <c r="C1244" s="33" t="s">
        <v>83</v>
      </c>
      <c r="D1244" s="29">
        <v>1.0</v>
      </c>
      <c r="E1244" s="30">
        <v>4500.0</v>
      </c>
      <c r="F1244" s="25" t="s">
        <v>10</v>
      </c>
      <c r="G1244" s="38">
        <v>45762.0</v>
      </c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 ht="14.25" customHeight="1">
      <c r="A1245" s="40">
        <v>45763.0</v>
      </c>
      <c r="B1245" s="33" t="s">
        <v>609</v>
      </c>
      <c r="C1245" s="33" t="s">
        <v>138</v>
      </c>
      <c r="D1245" s="29">
        <v>4.0</v>
      </c>
      <c r="E1245" s="30">
        <v>2320.0</v>
      </c>
      <c r="F1245" s="25" t="s">
        <v>10</v>
      </c>
      <c r="G1245" s="38">
        <v>45763.0</v>
      </c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 ht="14.25" customHeight="1">
      <c r="A1246" s="40">
        <v>45763.0</v>
      </c>
      <c r="B1246" s="33" t="s">
        <v>35</v>
      </c>
      <c r="C1246" s="33" t="s">
        <v>133</v>
      </c>
      <c r="D1246" s="29">
        <v>2.0</v>
      </c>
      <c r="E1246" s="39">
        <v>2200.0</v>
      </c>
      <c r="F1246" s="25" t="s">
        <v>10</v>
      </c>
      <c r="G1246" s="38">
        <v>45784.0</v>
      </c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 ht="14.25" customHeight="1">
      <c r="A1247" s="40">
        <v>45763.0</v>
      </c>
      <c r="B1247" s="33" t="s">
        <v>813</v>
      </c>
      <c r="C1247" s="33" t="s">
        <v>138</v>
      </c>
      <c r="D1247" s="29">
        <v>2.0</v>
      </c>
      <c r="E1247" s="30">
        <v>2300.0</v>
      </c>
      <c r="F1247" s="25" t="s">
        <v>10</v>
      </c>
      <c r="G1247" s="38">
        <v>45763.0</v>
      </c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 ht="14.25" customHeight="1">
      <c r="A1248" s="40">
        <v>45763.0</v>
      </c>
      <c r="B1248" s="33" t="s">
        <v>814</v>
      </c>
      <c r="C1248" s="33" t="s">
        <v>138</v>
      </c>
      <c r="D1248" s="29">
        <v>2.0</v>
      </c>
      <c r="E1248" s="30">
        <v>1120.0</v>
      </c>
      <c r="F1248" s="25" t="s">
        <v>10</v>
      </c>
      <c r="G1248" s="38">
        <v>45763.0</v>
      </c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 ht="14.25" customHeight="1">
      <c r="A1249" s="40">
        <v>45763.0</v>
      </c>
      <c r="B1249" s="33" t="s">
        <v>366</v>
      </c>
      <c r="C1249" s="33" t="s">
        <v>143</v>
      </c>
      <c r="D1249" s="29">
        <v>4.0</v>
      </c>
      <c r="E1249" s="30">
        <v>7120.0</v>
      </c>
      <c r="F1249" s="25" t="s">
        <v>10</v>
      </c>
      <c r="G1249" s="38">
        <v>45841.0</v>
      </c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 ht="14.25" customHeight="1">
      <c r="A1250" s="40">
        <v>45763.0</v>
      </c>
      <c r="B1250" s="33" t="s">
        <v>206</v>
      </c>
      <c r="C1250" s="33" t="s">
        <v>143</v>
      </c>
      <c r="D1250" s="29">
        <v>1.0</v>
      </c>
      <c r="E1250" s="30">
        <v>1450.0</v>
      </c>
      <c r="F1250" s="25" t="s">
        <v>10</v>
      </c>
      <c r="G1250" s="38">
        <v>45841.0</v>
      </c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 ht="14.25" customHeight="1">
      <c r="A1251" s="40">
        <v>45763.0</v>
      </c>
      <c r="B1251" s="33" t="s">
        <v>366</v>
      </c>
      <c r="C1251" s="33" t="s">
        <v>143</v>
      </c>
      <c r="D1251" s="29">
        <v>2.0</v>
      </c>
      <c r="E1251" s="30">
        <v>3560.0</v>
      </c>
      <c r="F1251" s="25" t="s">
        <v>10</v>
      </c>
      <c r="G1251" s="38">
        <v>45841.0</v>
      </c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 ht="14.25" customHeight="1">
      <c r="A1252" s="40">
        <v>45764.0</v>
      </c>
      <c r="B1252" s="33" t="s">
        <v>794</v>
      </c>
      <c r="C1252" s="33" t="s">
        <v>9</v>
      </c>
      <c r="D1252" s="29">
        <v>3.0</v>
      </c>
      <c r="E1252" s="30">
        <v>1800.0</v>
      </c>
      <c r="F1252" s="25" t="s">
        <v>10</v>
      </c>
      <c r="G1252" s="38">
        <v>45764.0</v>
      </c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 ht="14.25" customHeight="1">
      <c r="A1253" s="40">
        <v>45765.0</v>
      </c>
      <c r="B1253" s="33" t="s">
        <v>815</v>
      </c>
      <c r="C1253" s="33" t="s">
        <v>154</v>
      </c>
      <c r="D1253" s="29">
        <v>1.0</v>
      </c>
      <c r="E1253" s="30">
        <v>1472.0</v>
      </c>
      <c r="F1253" s="25" t="s">
        <v>10</v>
      </c>
      <c r="G1253" s="38">
        <v>45765.0</v>
      </c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 ht="14.25" customHeight="1">
      <c r="A1254" s="40">
        <v>45765.0</v>
      </c>
      <c r="B1254" s="33" t="s">
        <v>39</v>
      </c>
      <c r="C1254" s="33" t="s">
        <v>138</v>
      </c>
      <c r="D1254" s="29">
        <v>1.0</v>
      </c>
      <c r="E1254" s="30">
        <v>970.0</v>
      </c>
      <c r="F1254" s="25" t="s">
        <v>10</v>
      </c>
      <c r="G1254" s="38">
        <v>45765.0</v>
      </c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 ht="14.25" customHeight="1">
      <c r="A1255" s="40">
        <v>45768.0</v>
      </c>
      <c r="B1255" s="33" t="s">
        <v>100</v>
      </c>
      <c r="C1255" s="33" t="s">
        <v>133</v>
      </c>
      <c r="D1255" s="29">
        <v>6.0</v>
      </c>
      <c r="E1255" s="39">
        <v>4500.0</v>
      </c>
      <c r="F1255" s="25" t="s">
        <v>10</v>
      </c>
      <c r="G1255" s="38">
        <v>45784.0</v>
      </c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 ht="14.25" customHeight="1">
      <c r="A1256" s="40">
        <v>45768.0</v>
      </c>
      <c r="B1256" s="33" t="s">
        <v>816</v>
      </c>
      <c r="C1256" s="33" t="s">
        <v>138</v>
      </c>
      <c r="D1256" s="29">
        <v>2.0</v>
      </c>
      <c r="E1256" s="30">
        <v>3150.0</v>
      </c>
      <c r="F1256" s="25" t="s">
        <v>10</v>
      </c>
      <c r="G1256" s="38">
        <v>45768.0</v>
      </c>
      <c r="H1256" s="25" t="s">
        <v>222</v>
      </c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 ht="14.25" customHeight="1">
      <c r="A1257" s="40">
        <v>45768.0</v>
      </c>
      <c r="B1257" s="33" t="s">
        <v>817</v>
      </c>
      <c r="C1257" s="33" t="s">
        <v>154</v>
      </c>
      <c r="D1257" s="29">
        <v>4.0</v>
      </c>
      <c r="E1257" s="30">
        <v>2252.0</v>
      </c>
      <c r="F1257" s="25" t="s">
        <v>10</v>
      </c>
      <c r="G1257" s="38">
        <v>45768.0</v>
      </c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 ht="14.25" customHeight="1">
      <c r="A1258" s="40">
        <v>45769.0</v>
      </c>
      <c r="B1258" s="33" t="s">
        <v>261</v>
      </c>
      <c r="C1258" s="33" t="s">
        <v>9</v>
      </c>
      <c r="D1258" s="29">
        <v>1.0</v>
      </c>
      <c r="E1258" s="30">
        <v>1150.0</v>
      </c>
      <c r="F1258" s="25" t="s">
        <v>10</v>
      </c>
      <c r="G1258" s="38">
        <v>45769.0</v>
      </c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 ht="14.25" customHeight="1">
      <c r="A1259" s="40">
        <v>45769.0</v>
      </c>
      <c r="B1259" s="33" t="s">
        <v>797</v>
      </c>
      <c r="C1259" s="33" t="s">
        <v>133</v>
      </c>
      <c r="D1259" s="29">
        <v>4.0</v>
      </c>
      <c r="E1259" s="39">
        <v>4000.0</v>
      </c>
      <c r="F1259" s="25" t="s">
        <v>10</v>
      </c>
      <c r="G1259" s="38">
        <v>45784.0</v>
      </c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 ht="14.25" customHeight="1">
      <c r="A1260" s="40">
        <v>45769.0</v>
      </c>
      <c r="B1260" s="33" t="s">
        <v>818</v>
      </c>
      <c r="C1260" s="33" t="s">
        <v>138</v>
      </c>
      <c r="D1260" s="29">
        <v>4.0</v>
      </c>
      <c r="E1260" s="30">
        <v>3100.0</v>
      </c>
      <c r="F1260" s="25" t="s">
        <v>10</v>
      </c>
      <c r="G1260" s="38">
        <v>45769.0</v>
      </c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 ht="14.25" customHeight="1">
      <c r="A1261" s="40">
        <v>45769.0</v>
      </c>
      <c r="B1261" s="33" t="s">
        <v>565</v>
      </c>
      <c r="C1261" s="33" t="s">
        <v>156</v>
      </c>
      <c r="D1261" s="29">
        <v>1.0</v>
      </c>
      <c r="E1261" s="30">
        <v>1650.0</v>
      </c>
      <c r="F1261" s="25" t="s">
        <v>10</v>
      </c>
      <c r="G1261" s="38">
        <v>45769.0</v>
      </c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 ht="14.25" customHeight="1">
      <c r="A1262" s="40">
        <v>45769.0</v>
      </c>
      <c r="B1262" s="33" t="s">
        <v>606</v>
      </c>
      <c r="C1262" s="33" t="s">
        <v>154</v>
      </c>
      <c r="D1262" s="29">
        <v>2.0</v>
      </c>
      <c r="E1262" s="30">
        <v>1008.0</v>
      </c>
      <c r="F1262" s="25" t="s">
        <v>10</v>
      </c>
      <c r="G1262" s="38">
        <v>45769.0</v>
      </c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 ht="14.25" customHeight="1">
      <c r="A1263" s="40">
        <v>45770.0</v>
      </c>
      <c r="B1263" s="33" t="s">
        <v>819</v>
      </c>
      <c r="C1263" s="33" t="s">
        <v>136</v>
      </c>
      <c r="D1263" s="29">
        <v>2.0</v>
      </c>
      <c r="E1263" s="30">
        <v>1020.0</v>
      </c>
      <c r="F1263" s="25" t="s">
        <v>10</v>
      </c>
      <c r="G1263" s="38">
        <v>45770.0</v>
      </c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 ht="14.25" customHeight="1">
      <c r="A1264" s="40">
        <v>45770.0</v>
      </c>
      <c r="B1264" s="33" t="s">
        <v>820</v>
      </c>
      <c r="C1264" s="33" t="s">
        <v>138</v>
      </c>
      <c r="D1264" s="29">
        <v>4.0</v>
      </c>
      <c r="E1264" s="30">
        <v>5200.0</v>
      </c>
      <c r="F1264" s="25" t="s">
        <v>10</v>
      </c>
      <c r="G1264" s="38">
        <v>45770.0</v>
      </c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 ht="14.25" customHeight="1">
      <c r="A1265" s="40">
        <v>45770.0</v>
      </c>
      <c r="B1265" s="33" t="s">
        <v>821</v>
      </c>
      <c r="C1265" s="33" t="s">
        <v>138</v>
      </c>
      <c r="D1265" s="29">
        <v>2.0</v>
      </c>
      <c r="E1265" s="30">
        <v>1700.0</v>
      </c>
      <c r="F1265" s="25" t="s">
        <v>10</v>
      </c>
      <c r="G1265" s="38">
        <v>45770.0</v>
      </c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 ht="14.25" customHeight="1">
      <c r="A1266" s="40">
        <v>45770.0</v>
      </c>
      <c r="B1266" s="33" t="s">
        <v>822</v>
      </c>
      <c r="C1266" s="33" t="s">
        <v>156</v>
      </c>
      <c r="D1266" s="29">
        <v>2.0</v>
      </c>
      <c r="E1266" s="30">
        <v>1050.0</v>
      </c>
      <c r="F1266" s="25" t="s">
        <v>10</v>
      </c>
      <c r="G1266" s="38">
        <v>45770.0</v>
      </c>
      <c r="H1266" s="25" t="s">
        <v>823</v>
      </c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 ht="14.25" customHeight="1">
      <c r="A1267" s="40">
        <v>45771.0</v>
      </c>
      <c r="B1267" s="33" t="s">
        <v>64</v>
      </c>
      <c r="C1267" s="33" t="s">
        <v>9</v>
      </c>
      <c r="D1267" s="29">
        <v>3.0</v>
      </c>
      <c r="E1267" s="30">
        <v>1860.0</v>
      </c>
      <c r="F1267" s="25" t="s">
        <v>10</v>
      </c>
      <c r="G1267" s="38">
        <v>45771.0</v>
      </c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 ht="14.25" customHeight="1">
      <c r="A1268" s="40">
        <v>45771.0</v>
      </c>
      <c r="B1268" s="33" t="s">
        <v>709</v>
      </c>
      <c r="C1268" s="33" t="s">
        <v>133</v>
      </c>
      <c r="D1268" s="29">
        <v>2.0</v>
      </c>
      <c r="E1268" s="39">
        <v>2400.0</v>
      </c>
      <c r="F1268" s="25" t="s">
        <v>10</v>
      </c>
      <c r="G1268" s="38">
        <v>45791.0</v>
      </c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 ht="14.25" customHeight="1">
      <c r="A1269" s="40">
        <v>45772.0</v>
      </c>
      <c r="B1269" s="33" t="s">
        <v>763</v>
      </c>
      <c r="C1269" s="33" t="s">
        <v>138</v>
      </c>
      <c r="D1269" s="29">
        <v>4.0</v>
      </c>
      <c r="E1269" s="30">
        <v>3120.0</v>
      </c>
      <c r="F1269" s="25" t="s">
        <v>10</v>
      </c>
      <c r="G1269" s="38">
        <v>45772.0</v>
      </c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 ht="14.25" customHeight="1">
      <c r="A1270" s="40">
        <v>45772.0</v>
      </c>
      <c r="B1270" s="33" t="s">
        <v>565</v>
      </c>
      <c r="C1270" s="33" t="s">
        <v>156</v>
      </c>
      <c r="D1270" s="29">
        <v>1.0</v>
      </c>
      <c r="E1270" s="30">
        <v>1650.0</v>
      </c>
      <c r="F1270" s="25" t="s">
        <v>10</v>
      </c>
      <c r="G1270" s="38">
        <v>45772.0</v>
      </c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 ht="14.25" customHeight="1">
      <c r="A1271" s="40">
        <v>45772.0</v>
      </c>
      <c r="B1271" s="33" t="s">
        <v>824</v>
      </c>
      <c r="C1271" s="33" t="s">
        <v>132</v>
      </c>
      <c r="D1271" s="29">
        <v>1.0</v>
      </c>
      <c r="E1271" s="30">
        <v>1800.0</v>
      </c>
      <c r="F1271" s="25" t="s">
        <v>10</v>
      </c>
      <c r="G1271" s="38">
        <v>45772.0</v>
      </c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 ht="14.25" customHeight="1">
      <c r="A1272" s="40">
        <v>45772.0</v>
      </c>
      <c r="B1272" s="33" t="s">
        <v>35</v>
      </c>
      <c r="C1272" s="33" t="s">
        <v>133</v>
      </c>
      <c r="D1272" s="29">
        <v>1.0</v>
      </c>
      <c r="E1272" s="39">
        <v>1100.0</v>
      </c>
      <c r="F1272" s="25" t="s">
        <v>10</v>
      </c>
      <c r="G1272" s="38">
        <v>45791.0</v>
      </c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 ht="14.25" customHeight="1">
      <c r="A1273" s="40">
        <v>45772.0</v>
      </c>
      <c r="B1273" s="33" t="s">
        <v>17</v>
      </c>
      <c r="C1273" s="33" t="s">
        <v>133</v>
      </c>
      <c r="D1273" s="29">
        <v>2.0</v>
      </c>
      <c r="E1273" s="39">
        <v>2400.0</v>
      </c>
      <c r="F1273" s="25" t="s">
        <v>10</v>
      </c>
      <c r="G1273" s="38">
        <v>45791.0</v>
      </c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 ht="14.25" customHeight="1">
      <c r="A1274" s="40">
        <v>45772.0</v>
      </c>
      <c r="B1274" s="33" t="s">
        <v>589</v>
      </c>
      <c r="C1274" s="33" t="s">
        <v>825</v>
      </c>
      <c r="D1274" s="29">
        <v>2.0</v>
      </c>
      <c r="E1274" s="30">
        <v>2200.0</v>
      </c>
      <c r="F1274" s="25" t="s">
        <v>10</v>
      </c>
      <c r="G1274" s="38">
        <v>45773.0</v>
      </c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 ht="14.25" customHeight="1">
      <c r="A1275" s="40">
        <v>45773.0</v>
      </c>
      <c r="B1275" s="33" t="s">
        <v>826</v>
      </c>
      <c r="C1275" s="33" t="s">
        <v>133</v>
      </c>
      <c r="D1275" s="29">
        <v>2.0</v>
      </c>
      <c r="E1275" s="30">
        <v>1800.0</v>
      </c>
      <c r="F1275" s="25" t="s">
        <v>10</v>
      </c>
      <c r="G1275" s="38">
        <v>45775.0</v>
      </c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 ht="14.25" customHeight="1">
      <c r="A1276" s="40">
        <v>45773.0</v>
      </c>
      <c r="B1276" s="33" t="s">
        <v>827</v>
      </c>
      <c r="C1276" s="33" t="s">
        <v>143</v>
      </c>
      <c r="D1276" s="29">
        <v>2.0</v>
      </c>
      <c r="E1276" s="30">
        <v>1060.0</v>
      </c>
      <c r="F1276" s="25" t="s">
        <v>10</v>
      </c>
      <c r="G1276" s="38">
        <v>45779.0</v>
      </c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 ht="14.25" customHeight="1">
      <c r="A1277" s="40">
        <v>45775.0</v>
      </c>
      <c r="B1277" s="33" t="s">
        <v>629</v>
      </c>
      <c r="C1277" s="33" t="s">
        <v>138</v>
      </c>
      <c r="D1277" s="29">
        <v>2.0</v>
      </c>
      <c r="E1277" s="30">
        <v>1030.0</v>
      </c>
      <c r="F1277" s="25" t="s">
        <v>10</v>
      </c>
      <c r="G1277" s="38">
        <v>45775.0</v>
      </c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 ht="14.25" customHeight="1">
      <c r="A1278" s="40">
        <v>45775.0</v>
      </c>
      <c r="B1278" s="33" t="s">
        <v>828</v>
      </c>
      <c r="C1278" s="33" t="s">
        <v>133</v>
      </c>
      <c r="D1278" s="29">
        <v>1.0</v>
      </c>
      <c r="E1278" s="39">
        <v>1300.0</v>
      </c>
      <c r="F1278" s="25" t="s">
        <v>10</v>
      </c>
      <c r="G1278" s="38">
        <v>45791.0</v>
      </c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 ht="14.25" customHeight="1">
      <c r="A1279" s="40">
        <v>45775.0</v>
      </c>
      <c r="B1279" s="33" t="s">
        <v>813</v>
      </c>
      <c r="C1279" s="33" t="s">
        <v>138</v>
      </c>
      <c r="D1279" s="29">
        <v>2.0</v>
      </c>
      <c r="E1279" s="30">
        <v>2300.0</v>
      </c>
      <c r="F1279" s="25" t="s">
        <v>10</v>
      </c>
      <c r="G1279" s="38">
        <v>45775.0</v>
      </c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 ht="14.25" customHeight="1">
      <c r="A1280" s="40">
        <v>45776.0</v>
      </c>
      <c r="B1280" s="33" t="s">
        <v>829</v>
      </c>
      <c r="C1280" s="33" t="s">
        <v>138</v>
      </c>
      <c r="D1280" s="29">
        <v>4.0</v>
      </c>
      <c r="E1280" s="30">
        <v>2360.0</v>
      </c>
      <c r="F1280" s="25" t="s">
        <v>10</v>
      </c>
      <c r="G1280" s="38">
        <v>45776.0</v>
      </c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 ht="14.25" customHeight="1">
      <c r="A1281" s="40">
        <v>45776.0</v>
      </c>
      <c r="B1281" s="33" t="s">
        <v>830</v>
      </c>
      <c r="C1281" s="33" t="s">
        <v>133</v>
      </c>
      <c r="D1281" s="29">
        <v>2.0</v>
      </c>
      <c r="E1281" s="30">
        <v>2600.0</v>
      </c>
      <c r="F1281" s="25" t="s">
        <v>10</v>
      </c>
      <c r="G1281" s="38">
        <v>45777.0</v>
      </c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 ht="14.25" customHeight="1">
      <c r="A1282" s="40">
        <v>45777.0</v>
      </c>
      <c r="B1282" s="33" t="s">
        <v>831</v>
      </c>
      <c r="C1282" s="33" t="s">
        <v>138</v>
      </c>
      <c r="D1282" s="29">
        <v>2.0</v>
      </c>
      <c r="E1282" s="30">
        <v>4600.0</v>
      </c>
      <c r="F1282" s="25" t="s">
        <v>10</v>
      </c>
      <c r="G1282" s="38">
        <v>45777.0</v>
      </c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 ht="14.25" customHeight="1">
      <c r="A1283" s="40">
        <v>45777.0</v>
      </c>
      <c r="B1283" s="33" t="s">
        <v>241</v>
      </c>
      <c r="C1283" s="33" t="s">
        <v>133</v>
      </c>
      <c r="D1283" s="29">
        <v>4.0</v>
      </c>
      <c r="E1283" s="39">
        <v>2360.0</v>
      </c>
      <c r="F1283" s="25" t="s">
        <v>10</v>
      </c>
      <c r="G1283" s="38">
        <v>45791.0</v>
      </c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 ht="14.25" customHeight="1">
      <c r="A1284" s="40">
        <v>45777.0</v>
      </c>
      <c r="B1284" s="33" t="s">
        <v>832</v>
      </c>
      <c r="C1284" s="33" t="s">
        <v>133</v>
      </c>
      <c r="D1284" s="29">
        <v>2.0</v>
      </c>
      <c r="E1284" s="39">
        <v>2540.0</v>
      </c>
      <c r="F1284" s="25" t="s">
        <v>10</v>
      </c>
      <c r="G1284" s="38">
        <v>45791.0</v>
      </c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 ht="14.25" customHeight="1">
      <c r="A1285" s="40">
        <v>45777.0</v>
      </c>
      <c r="B1285" s="33" t="s">
        <v>833</v>
      </c>
      <c r="C1285" s="33" t="s">
        <v>133</v>
      </c>
      <c r="D1285" s="29">
        <v>4.0</v>
      </c>
      <c r="E1285" s="30">
        <v>6400.0</v>
      </c>
      <c r="F1285" s="25" t="s">
        <v>10</v>
      </c>
      <c r="G1285" s="38">
        <v>45777.0</v>
      </c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 ht="14.25" customHeight="1">
      <c r="A1286" s="40">
        <v>45779.0</v>
      </c>
      <c r="B1286" s="33" t="s">
        <v>831</v>
      </c>
      <c r="C1286" s="33" t="s">
        <v>138</v>
      </c>
      <c r="D1286" s="29">
        <v>1.0</v>
      </c>
      <c r="E1286" s="30">
        <v>2300.0</v>
      </c>
      <c r="F1286" s="25" t="s">
        <v>10</v>
      </c>
      <c r="G1286" s="38">
        <v>45779.0</v>
      </c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 ht="14.25" customHeight="1">
      <c r="A1287" s="40">
        <v>45779.0</v>
      </c>
      <c r="B1287" s="33" t="s">
        <v>834</v>
      </c>
      <c r="C1287" s="33" t="s">
        <v>143</v>
      </c>
      <c r="D1287" s="29">
        <v>2.0</v>
      </c>
      <c r="E1287" s="39">
        <v>3300.0</v>
      </c>
      <c r="F1287" s="25" t="s">
        <v>10</v>
      </c>
      <c r="G1287" s="38">
        <v>45854.0</v>
      </c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 ht="14.25" customHeight="1">
      <c r="A1288" s="40">
        <v>45779.0</v>
      </c>
      <c r="B1288" s="33" t="s">
        <v>828</v>
      </c>
      <c r="C1288" s="33" t="s">
        <v>133</v>
      </c>
      <c r="D1288" s="29">
        <v>1.0</v>
      </c>
      <c r="E1288" s="39">
        <v>1300.0</v>
      </c>
      <c r="F1288" s="25" t="s">
        <v>10</v>
      </c>
      <c r="G1288" s="38">
        <v>45797.0</v>
      </c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 ht="14.25" customHeight="1">
      <c r="A1289" s="40">
        <v>45779.0</v>
      </c>
      <c r="B1289" s="33" t="s">
        <v>835</v>
      </c>
      <c r="C1289" s="33" t="s">
        <v>133</v>
      </c>
      <c r="D1289" s="29">
        <v>2.0</v>
      </c>
      <c r="E1289" s="39">
        <v>2900.0</v>
      </c>
      <c r="F1289" s="25" t="s">
        <v>10</v>
      </c>
      <c r="G1289" s="38">
        <v>45797.0</v>
      </c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 ht="14.25" customHeight="1">
      <c r="A1290" s="40">
        <v>45779.0</v>
      </c>
      <c r="B1290" s="33" t="s">
        <v>742</v>
      </c>
      <c r="C1290" s="33" t="s">
        <v>143</v>
      </c>
      <c r="D1290" s="29">
        <v>1.0</v>
      </c>
      <c r="E1290" s="39">
        <v>1200.0</v>
      </c>
      <c r="F1290" s="25" t="s">
        <v>10</v>
      </c>
      <c r="G1290" s="38">
        <v>45854.0</v>
      </c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 ht="14.25" customHeight="1">
      <c r="A1291" s="40">
        <v>45779.0</v>
      </c>
      <c r="B1291" s="33" t="s">
        <v>833</v>
      </c>
      <c r="C1291" s="33" t="s">
        <v>143</v>
      </c>
      <c r="D1291" s="29">
        <v>4.0</v>
      </c>
      <c r="E1291" s="39">
        <v>6000.0</v>
      </c>
      <c r="F1291" s="25" t="s">
        <v>10</v>
      </c>
      <c r="G1291" s="38">
        <v>45854.0</v>
      </c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 ht="14.25" customHeight="1">
      <c r="A1292" s="40">
        <v>45780.0</v>
      </c>
      <c r="B1292" s="33" t="s">
        <v>836</v>
      </c>
      <c r="C1292" s="33" t="s">
        <v>154</v>
      </c>
      <c r="D1292" s="29">
        <v>2.0</v>
      </c>
      <c r="E1292" s="30">
        <v>2900.0</v>
      </c>
      <c r="F1292" s="25" t="s">
        <v>10</v>
      </c>
      <c r="G1292" s="38">
        <v>45780.0</v>
      </c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 ht="14.25" customHeight="1">
      <c r="A1293" s="40">
        <v>45782.0</v>
      </c>
      <c r="B1293" s="33" t="s">
        <v>100</v>
      </c>
      <c r="C1293" s="33" t="s">
        <v>133</v>
      </c>
      <c r="D1293" s="29">
        <v>2.0</v>
      </c>
      <c r="E1293" s="39">
        <v>1500.0</v>
      </c>
      <c r="F1293" s="25" t="s">
        <v>10</v>
      </c>
      <c r="G1293" s="38">
        <v>45797.0</v>
      </c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 ht="14.25" customHeight="1">
      <c r="A1294" s="40">
        <v>45782.0</v>
      </c>
      <c r="B1294" s="33" t="s">
        <v>837</v>
      </c>
      <c r="C1294" s="33" t="s">
        <v>83</v>
      </c>
      <c r="D1294" s="29">
        <v>2.0</v>
      </c>
      <c r="E1294" s="30">
        <v>2500.0</v>
      </c>
      <c r="F1294" s="25" t="s">
        <v>10</v>
      </c>
      <c r="G1294" s="38">
        <v>45782.0</v>
      </c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 ht="14.25" customHeight="1">
      <c r="A1295" s="40">
        <v>45782.0</v>
      </c>
      <c r="B1295" s="33" t="s">
        <v>500</v>
      </c>
      <c r="C1295" s="33" t="s">
        <v>133</v>
      </c>
      <c r="D1295" s="29">
        <v>1.0</v>
      </c>
      <c r="E1295" s="39">
        <v>650.0</v>
      </c>
      <c r="F1295" s="25" t="s">
        <v>10</v>
      </c>
      <c r="G1295" s="38">
        <v>45797.0</v>
      </c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 ht="14.25" customHeight="1">
      <c r="A1296" s="40">
        <v>45783.0</v>
      </c>
      <c r="B1296" s="33" t="s">
        <v>479</v>
      </c>
      <c r="C1296" s="33" t="s">
        <v>143</v>
      </c>
      <c r="D1296" s="29">
        <v>2.0</v>
      </c>
      <c r="E1296" s="39">
        <v>2400.0</v>
      </c>
      <c r="F1296" s="25" t="s">
        <v>10</v>
      </c>
      <c r="G1296" s="38">
        <v>45854.0</v>
      </c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 ht="14.25" customHeight="1">
      <c r="A1297" s="40">
        <v>45783.0</v>
      </c>
      <c r="B1297" s="33" t="s">
        <v>838</v>
      </c>
      <c r="C1297" s="33" t="s">
        <v>128</v>
      </c>
      <c r="D1297" s="29">
        <v>2.0</v>
      </c>
      <c r="E1297" s="30">
        <v>3500.0</v>
      </c>
      <c r="F1297" s="25" t="s">
        <v>10</v>
      </c>
      <c r="G1297" s="38">
        <v>45783.0</v>
      </c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 ht="14.25" customHeight="1">
      <c r="A1298" s="40">
        <v>45783.0</v>
      </c>
      <c r="B1298" s="33" t="s">
        <v>663</v>
      </c>
      <c r="C1298" s="33" t="s">
        <v>126</v>
      </c>
      <c r="D1298" s="29">
        <v>4.0</v>
      </c>
      <c r="E1298" s="39">
        <v>6200.0</v>
      </c>
      <c r="F1298" s="25" t="s">
        <v>10</v>
      </c>
      <c r="G1298" s="38">
        <v>45896.0</v>
      </c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 ht="14.25" customHeight="1">
      <c r="A1299" s="40">
        <v>45785.0</v>
      </c>
      <c r="B1299" s="33" t="s">
        <v>551</v>
      </c>
      <c r="C1299" s="33" t="s">
        <v>143</v>
      </c>
      <c r="D1299" s="29">
        <v>2.0</v>
      </c>
      <c r="E1299" s="39">
        <v>2300.0</v>
      </c>
      <c r="F1299" s="25" t="s">
        <v>10</v>
      </c>
      <c r="G1299" s="38">
        <v>45854.0</v>
      </c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 ht="14.25" customHeight="1">
      <c r="A1300" s="40">
        <v>45785.0</v>
      </c>
      <c r="B1300" s="33" t="s">
        <v>75</v>
      </c>
      <c r="C1300" s="33" t="s">
        <v>136</v>
      </c>
      <c r="D1300" s="29">
        <v>4.0</v>
      </c>
      <c r="E1300" s="30">
        <v>3400.0</v>
      </c>
      <c r="F1300" s="25" t="s">
        <v>10</v>
      </c>
      <c r="G1300" s="38">
        <v>45785.0</v>
      </c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 ht="14.25" customHeight="1">
      <c r="A1301" s="40">
        <v>45785.0</v>
      </c>
      <c r="B1301" s="33" t="s">
        <v>839</v>
      </c>
      <c r="C1301" s="33" t="s">
        <v>133</v>
      </c>
      <c r="D1301" s="29">
        <v>1.0</v>
      </c>
      <c r="E1301" s="39">
        <v>3350.0</v>
      </c>
      <c r="F1301" s="25" t="s">
        <v>10</v>
      </c>
      <c r="G1301" s="38">
        <v>45797.0</v>
      </c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 ht="14.25" customHeight="1">
      <c r="A1302" s="40">
        <v>45786.0</v>
      </c>
      <c r="B1302" s="33" t="s">
        <v>840</v>
      </c>
      <c r="C1302" s="33" t="s">
        <v>133</v>
      </c>
      <c r="D1302" s="29">
        <v>3.0</v>
      </c>
      <c r="E1302" s="39">
        <v>1950.0</v>
      </c>
      <c r="F1302" s="25" t="s">
        <v>10</v>
      </c>
      <c r="G1302" s="38">
        <v>45797.0</v>
      </c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 ht="14.25" customHeight="1">
      <c r="A1303" s="40">
        <v>45786.0</v>
      </c>
      <c r="B1303" s="33" t="s">
        <v>461</v>
      </c>
      <c r="C1303" s="33" t="s">
        <v>143</v>
      </c>
      <c r="D1303" s="29">
        <v>1.0</v>
      </c>
      <c r="E1303" s="30">
        <v>1250.0</v>
      </c>
      <c r="F1303" s="25" t="s">
        <v>10</v>
      </c>
      <c r="G1303" s="38">
        <v>45789.0</v>
      </c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 ht="14.25" customHeight="1">
      <c r="A1304" s="40">
        <v>45787.0</v>
      </c>
      <c r="B1304" s="33" t="s">
        <v>841</v>
      </c>
      <c r="C1304" s="33" t="s">
        <v>154</v>
      </c>
      <c r="D1304" s="29">
        <v>1.0</v>
      </c>
      <c r="E1304" s="30">
        <v>455.0</v>
      </c>
      <c r="F1304" s="25" t="s">
        <v>10</v>
      </c>
      <c r="G1304" s="38">
        <v>45787.0</v>
      </c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 ht="14.25" customHeight="1">
      <c r="A1305" s="40">
        <v>45787.0</v>
      </c>
      <c r="B1305" s="33" t="s">
        <v>842</v>
      </c>
      <c r="C1305" s="33" t="s">
        <v>143</v>
      </c>
      <c r="D1305" s="29">
        <v>2.0</v>
      </c>
      <c r="E1305" s="30">
        <v>1800.0</v>
      </c>
      <c r="F1305" s="25" t="s">
        <v>10</v>
      </c>
      <c r="G1305" s="38">
        <v>45883.0</v>
      </c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 ht="14.25" customHeight="1">
      <c r="A1306" s="40">
        <v>45789.0</v>
      </c>
      <c r="B1306" s="33" t="s">
        <v>843</v>
      </c>
      <c r="C1306" s="33" t="s">
        <v>159</v>
      </c>
      <c r="D1306" s="29">
        <v>2.0</v>
      </c>
      <c r="E1306" s="30">
        <v>3080.0</v>
      </c>
      <c r="F1306" s="25" t="s">
        <v>10</v>
      </c>
      <c r="G1306" s="38">
        <v>45792.0</v>
      </c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 ht="14.25" customHeight="1">
      <c r="A1307" s="40">
        <v>45790.0</v>
      </c>
      <c r="B1307" s="33" t="s">
        <v>514</v>
      </c>
      <c r="C1307" s="33" t="s">
        <v>9</v>
      </c>
      <c r="D1307" s="29">
        <v>2.0</v>
      </c>
      <c r="E1307" s="30">
        <v>1960.0</v>
      </c>
      <c r="F1307" s="25" t="s">
        <v>10</v>
      </c>
      <c r="G1307" s="38">
        <v>45790.0</v>
      </c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 ht="14.25" customHeight="1">
      <c r="A1308" s="40">
        <v>45790.0</v>
      </c>
      <c r="B1308" s="33" t="s">
        <v>844</v>
      </c>
      <c r="C1308" s="33" t="s">
        <v>133</v>
      </c>
      <c r="D1308" s="29">
        <v>1.0</v>
      </c>
      <c r="E1308" s="39">
        <v>2700.0</v>
      </c>
      <c r="F1308" s="25" t="s">
        <v>10</v>
      </c>
      <c r="G1308" s="38">
        <v>45811.0</v>
      </c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 ht="14.25" customHeight="1">
      <c r="A1309" s="40">
        <v>45790.0</v>
      </c>
      <c r="B1309" s="33" t="s">
        <v>845</v>
      </c>
      <c r="C1309" s="33" t="s">
        <v>83</v>
      </c>
      <c r="D1309" s="29">
        <v>1.0</v>
      </c>
      <c r="E1309" s="30">
        <v>1500.0</v>
      </c>
      <c r="F1309" s="25" t="s">
        <v>10</v>
      </c>
      <c r="G1309" s="38">
        <v>45790.0</v>
      </c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 ht="14.25" customHeight="1">
      <c r="A1310" s="40">
        <v>45790.0</v>
      </c>
      <c r="B1310" s="33" t="s">
        <v>702</v>
      </c>
      <c r="C1310" s="33" t="s">
        <v>138</v>
      </c>
      <c r="D1310" s="29">
        <v>4.0</v>
      </c>
      <c r="E1310" s="30">
        <v>3920.0</v>
      </c>
      <c r="F1310" s="25" t="s">
        <v>10</v>
      </c>
      <c r="G1310" s="38">
        <v>45790.0</v>
      </c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 ht="14.25" customHeight="1">
      <c r="A1311" s="40">
        <v>45791.0</v>
      </c>
      <c r="B1311" s="33" t="s">
        <v>16</v>
      </c>
      <c r="C1311" s="33" t="s">
        <v>133</v>
      </c>
      <c r="D1311" s="29">
        <v>2.0</v>
      </c>
      <c r="E1311" s="39">
        <v>2200.0</v>
      </c>
      <c r="F1311" s="25" t="s">
        <v>10</v>
      </c>
      <c r="G1311" s="38">
        <v>45811.0</v>
      </c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 ht="14.25" customHeight="1">
      <c r="A1312" s="40">
        <v>45791.0</v>
      </c>
      <c r="B1312" s="33" t="s">
        <v>846</v>
      </c>
      <c r="C1312" s="33" t="s">
        <v>143</v>
      </c>
      <c r="D1312" s="29">
        <v>2.0</v>
      </c>
      <c r="E1312" s="30">
        <v>1900.0</v>
      </c>
      <c r="F1312" s="25" t="s">
        <v>10</v>
      </c>
      <c r="G1312" s="38">
        <v>45883.0</v>
      </c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 ht="14.25" customHeight="1">
      <c r="A1313" s="40">
        <v>45791.0</v>
      </c>
      <c r="B1313" s="33" t="s">
        <v>847</v>
      </c>
      <c r="C1313" s="33" t="s">
        <v>143</v>
      </c>
      <c r="D1313" s="29">
        <v>1.0</v>
      </c>
      <c r="E1313" s="30">
        <v>1300.0</v>
      </c>
      <c r="F1313" s="25" t="s">
        <v>10</v>
      </c>
      <c r="G1313" s="38">
        <v>45883.0</v>
      </c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 ht="14.25" customHeight="1">
      <c r="A1314" s="40">
        <v>45791.0</v>
      </c>
      <c r="B1314" s="33" t="s">
        <v>40</v>
      </c>
      <c r="C1314" s="33" t="s">
        <v>143</v>
      </c>
      <c r="D1314" s="29">
        <v>1.0</v>
      </c>
      <c r="E1314" s="30">
        <v>1750.0</v>
      </c>
      <c r="F1314" s="25" t="s">
        <v>10</v>
      </c>
      <c r="G1314" s="38">
        <v>45791.0</v>
      </c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 ht="14.25" customHeight="1">
      <c r="A1315" s="40">
        <v>45792.0</v>
      </c>
      <c r="B1315" s="33" t="s">
        <v>848</v>
      </c>
      <c r="C1315" s="33" t="s">
        <v>143</v>
      </c>
      <c r="D1315" s="29">
        <v>2.0</v>
      </c>
      <c r="E1315" s="30">
        <v>2400.0</v>
      </c>
      <c r="F1315" s="25" t="s">
        <v>10</v>
      </c>
      <c r="G1315" s="38">
        <v>45794.0</v>
      </c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 ht="14.25" customHeight="1">
      <c r="A1316" s="40">
        <v>45792.0</v>
      </c>
      <c r="B1316" s="33" t="s">
        <v>849</v>
      </c>
      <c r="C1316" s="33" t="s">
        <v>138</v>
      </c>
      <c r="D1316" s="29">
        <v>2.0</v>
      </c>
      <c r="E1316" s="30">
        <v>1900.0</v>
      </c>
      <c r="F1316" s="25" t="s">
        <v>10</v>
      </c>
      <c r="G1316" s="38">
        <v>45792.0</v>
      </c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 ht="14.25" customHeight="1">
      <c r="A1317" s="40">
        <v>45793.0</v>
      </c>
      <c r="B1317" s="33" t="s">
        <v>850</v>
      </c>
      <c r="C1317" s="33" t="s">
        <v>138</v>
      </c>
      <c r="D1317" s="29">
        <v>1.0</v>
      </c>
      <c r="E1317" s="30">
        <v>1350.0</v>
      </c>
      <c r="F1317" s="25" t="s">
        <v>10</v>
      </c>
      <c r="G1317" s="38">
        <v>45793.0</v>
      </c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 ht="14.25" customHeight="1">
      <c r="A1318" s="40">
        <v>45793.0</v>
      </c>
      <c r="B1318" s="33" t="s">
        <v>851</v>
      </c>
      <c r="C1318" s="33" t="s">
        <v>138</v>
      </c>
      <c r="D1318" s="29">
        <v>4.0</v>
      </c>
      <c r="E1318" s="30">
        <v>4600.0</v>
      </c>
      <c r="F1318" s="25" t="s">
        <v>10</v>
      </c>
      <c r="G1318" s="38">
        <v>45793.0</v>
      </c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 ht="14.25" customHeight="1">
      <c r="A1319" s="40">
        <v>45793.0</v>
      </c>
      <c r="B1319" s="33" t="s">
        <v>852</v>
      </c>
      <c r="C1319" s="33" t="s">
        <v>9</v>
      </c>
      <c r="D1319" s="29">
        <v>2.0</v>
      </c>
      <c r="E1319" s="30">
        <v>5100.0</v>
      </c>
      <c r="F1319" s="25" t="s">
        <v>10</v>
      </c>
      <c r="G1319" s="38">
        <v>45793.0</v>
      </c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 ht="14.25" customHeight="1">
      <c r="A1320" s="40">
        <v>45794.0</v>
      </c>
      <c r="B1320" s="33" t="s">
        <v>853</v>
      </c>
      <c r="C1320" s="33" t="s">
        <v>126</v>
      </c>
      <c r="D1320" s="29">
        <v>2.0</v>
      </c>
      <c r="E1320" s="39">
        <v>3460.0</v>
      </c>
      <c r="F1320" s="25" t="s">
        <v>10</v>
      </c>
      <c r="G1320" s="38">
        <v>45896.0</v>
      </c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 ht="14.25" customHeight="1">
      <c r="A1321" s="40">
        <v>45794.0</v>
      </c>
      <c r="B1321" s="33" t="s">
        <v>853</v>
      </c>
      <c r="C1321" s="33" t="s">
        <v>143</v>
      </c>
      <c r="D1321" s="29">
        <v>2.0</v>
      </c>
      <c r="E1321" s="30">
        <v>3600.0</v>
      </c>
      <c r="F1321" s="25" t="s">
        <v>10</v>
      </c>
      <c r="G1321" s="38">
        <v>45883.0</v>
      </c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 ht="14.25" customHeight="1">
      <c r="A1322" s="40">
        <v>45796.0</v>
      </c>
      <c r="B1322" s="33" t="s">
        <v>854</v>
      </c>
      <c r="C1322" s="33" t="s">
        <v>143</v>
      </c>
      <c r="D1322" s="29">
        <v>2.0</v>
      </c>
      <c r="E1322" s="30">
        <v>2400.0</v>
      </c>
      <c r="F1322" s="25" t="s">
        <v>10</v>
      </c>
      <c r="G1322" s="38">
        <v>45883.0</v>
      </c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 ht="14.25" customHeight="1">
      <c r="A1323" s="40">
        <v>45796.0</v>
      </c>
      <c r="B1323" s="33" t="s">
        <v>551</v>
      </c>
      <c r="C1323" s="33" t="s">
        <v>143</v>
      </c>
      <c r="D1323" s="29">
        <v>2.0</v>
      </c>
      <c r="E1323" s="30">
        <v>2300.0</v>
      </c>
      <c r="F1323" s="25" t="s">
        <v>10</v>
      </c>
      <c r="G1323" s="38">
        <v>45883.0</v>
      </c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 ht="14.25" customHeight="1">
      <c r="A1324" s="40">
        <v>45796.0</v>
      </c>
      <c r="B1324" s="33" t="s">
        <v>13</v>
      </c>
      <c r="C1324" s="33" t="s">
        <v>143</v>
      </c>
      <c r="D1324" s="29">
        <v>2.0</v>
      </c>
      <c r="E1324" s="30">
        <v>2800.0</v>
      </c>
      <c r="F1324" s="25" t="s">
        <v>10</v>
      </c>
      <c r="G1324" s="38">
        <v>45883.0</v>
      </c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 ht="14.25" customHeight="1">
      <c r="A1325" s="40">
        <v>45796.0</v>
      </c>
      <c r="B1325" s="33" t="s">
        <v>19</v>
      </c>
      <c r="C1325" s="33" t="s">
        <v>126</v>
      </c>
      <c r="D1325" s="29">
        <v>1.0</v>
      </c>
      <c r="E1325" s="39">
        <v>1330.0</v>
      </c>
      <c r="F1325" s="25" t="s">
        <v>10</v>
      </c>
      <c r="G1325" s="38">
        <v>45896.0</v>
      </c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 ht="14.25" customHeight="1">
      <c r="A1326" s="40">
        <v>45796.0</v>
      </c>
      <c r="B1326" s="33" t="s">
        <v>19</v>
      </c>
      <c r="C1326" s="33" t="s">
        <v>9</v>
      </c>
      <c r="D1326" s="29">
        <v>1.0</v>
      </c>
      <c r="E1326" s="30">
        <v>1350.0</v>
      </c>
      <c r="F1326" s="25" t="s">
        <v>10</v>
      </c>
      <c r="G1326" s="38">
        <v>45796.0</v>
      </c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 ht="14.25" customHeight="1">
      <c r="A1327" s="40">
        <v>45796.0</v>
      </c>
      <c r="B1327" s="33" t="s">
        <v>343</v>
      </c>
      <c r="C1327" s="33" t="s">
        <v>133</v>
      </c>
      <c r="D1327" s="29">
        <v>2.0</v>
      </c>
      <c r="E1327" s="39">
        <v>2300.0</v>
      </c>
      <c r="F1327" s="25" t="s">
        <v>10</v>
      </c>
      <c r="G1327" s="38">
        <v>45811.0</v>
      </c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 ht="14.25" customHeight="1">
      <c r="A1328" s="40">
        <v>45796.0</v>
      </c>
      <c r="B1328" s="33" t="s">
        <v>16</v>
      </c>
      <c r="C1328" s="33" t="s">
        <v>133</v>
      </c>
      <c r="D1328" s="29">
        <v>1.0</v>
      </c>
      <c r="E1328" s="39">
        <v>1100.0</v>
      </c>
      <c r="F1328" s="25" t="s">
        <v>10</v>
      </c>
      <c r="G1328" s="38">
        <v>45811.0</v>
      </c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 ht="14.25" customHeight="1">
      <c r="A1329" s="40">
        <v>45796.0</v>
      </c>
      <c r="B1329" s="33" t="s">
        <v>201</v>
      </c>
      <c r="C1329" s="33" t="s">
        <v>138</v>
      </c>
      <c r="D1329" s="29">
        <v>1.0</v>
      </c>
      <c r="E1329" s="30">
        <v>470.0</v>
      </c>
      <c r="F1329" s="25" t="s">
        <v>10</v>
      </c>
      <c r="G1329" s="38">
        <v>45796.0</v>
      </c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 ht="14.25" customHeight="1">
      <c r="A1330" s="40">
        <v>45797.0</v>
      </c>
      <c r="B1330" s="33" t="s">
        <v>39</v>
      </c>
      <c r="C1330" s="33" t="s">
        <v>9</v>
      </c>
      <c r="D1330" s="29">
        <v>2.0</v>
      </c>
      <c r="E1330" s="30">
        <v>1960.0</v>
      </c>
      <c r="F1330" s="25" t="s">
        <v>10</v>
      </c>
      <c r="G1330" s="38">
        <v>45797.0</v>
      </c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 ht="14.25" customHeight="1">
      <c r="A1331" s="40">
        <v>45797.0</v>
      </c>
      <c r="B1331" s="33" t="s">
        <v>855</v>
      </c>
      <c r="C1331" s="33" t="s">
        <v>325</v>
      </c>
      <c r="D1331" s="29">
        <v>2.0</v>
      </c>
      <c r="E1331" s="30">
        <v>2800.0</v>
      </c>
      <c r="F1331" s="25" t="s">
        <v>10</v>
      </c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 ht="14.25" customHeight="1">
      <c r="A1332" s="40">
        <v>45797.0</v>
      </c>
      <c r="B1332" s="33" t="s">
        <v>856</v>
      </c>
      <c r="C1332" s="33" t="s">
        <v>9</v>
      </c>
      <c r="D1332" s="29">
        <v>1.0</v>
      </c>
      <c r="E1332" s="30">
        <v>1700.0</v>
      </c>
      <c r="F1332" s="25" t="s">
        <v>10</v>
      </c>
      <c r="G1332" s="38">
        <v>45799.0</v>
      </c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 ht="14.25" customHeight="1">
      <c r="A1333" s="40">
        <v>45798.0</v>
      </c>
      <c r="B1333" s="33" t="s">
        <v>857</v>
      </c>
      <c r="C1333" s="33" t="s">
        <v>143</v>
      </c>
      <c r="D1333" s="29">
        <v>2.0</v>
      </c>
      <c r="E1333" s="30">
        <v>3200.0</v>
      </c>
      <c r="F1333" s="25" t="s">
        <v>10</v>
      </c>
      <c r="G1333" s="38">
        <v>45883.0</v>
      </c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 ht="14.25" customHeight="1">
      <c r="A1334" s="40">
        <v>45798.0</v>
      </c>
      <c r="B1334" s="33" t="s">
        <v>858</v>
      </c>
      <c r="C1334" s="33" t="s">
        <v>133</v>
      </c>
      <c r="D1334" s="29">
        <v>1.0</v>
      </c>
      <c r="E1334" s="39">
        <v>1100.0</v>
      </c>
      <c r="F1334" s="25" t="s">
        <v>10</v>
      </c>
      <c r="G1334" s="38">
        <v>45838.0</v>
      </c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 ht="14.25" customHeight="1">
      <c r="A1335" s="40">
        <v>45799.0</v>
      </c>
      <c r="B1335" s="33" t="s">
        <v>859</v>
      </c>
      <c r="C1335" s="33" t="s">
        <v>9</v>
      </c>
      <c r="D1335" s="29">
        <v>1.0</v>
      </c>
      <c r="E1335" s="30">
        <v>800.0</v>
      </c>
      <c r="F1335" s="25" t="s">
        <v>10</v>
      </c>
      <c r="G1335" s="38">
        <v>45799.0</v>
      </c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 ht="14.25" customHeight="1">
      <c r="A1336" s="40">
        <v>45799.0</v>
      </c>
      <c r="B1336" s="33" t="s">
        <v>860</v>
      </c>
      <c r="C1336" s="33" t="s">
        <v>9</v>
      </c>
      <c r="D1336" s="29">
        <v>2.0</v>
      </c>
      <c r="E1336" s="30">
        <v>1960.0</v>
      </c>
      <c r="F1336" s="25" t="s">
        <v>10</v>
      </c>
      <c r="G1336" s="38">
        <v>45799.0</v>
      </c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 ht="14.25" customHeight="1">
      <c r="A1337" s="40">
        <v>45799.0</v>
      </c>
      <c r="B1337" s="33" t="s">
        <v>64</v>
      </c>
      <c r="C1337" s="33" t="s">
        <v>9</v>
      </c>
      <c r="D1337" s="29">
        <v>4.0</v>
      </c>
      <c r="E1337" s="30">
        <v>2480.0</v>
      </c>
      <c r="F1337" s="25" t="s">
        <v>10</v>
      </c>
      <c r="G1337" s="38">
        <v>45801.0</v>
      </c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 ht="14.25" customHeight="1">
      <c r="A1338" s="40">
        <v>45799.0</v>
      </c>
      <c r="B1338" s="33" t="s">
        <v>819</v>
      </c>
      <c r="C1338" s="33" t="s">
        <v>136</v>
      </c>
      <c r="D1338" s="29">
        <v>2.0</v>
      </c>
      <c r="E1338" s="30">
        <v>1020.0</v>
      </c>
      <c r="F1338" s="25" t="s">
        <v>10</v>
      </c>
      <c r="G1338" s="38">
        <v>45799.0</v>
      </c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 ht="14.25" customHeight="1">
      <c r="A1339" s="40">
        <v>45800.0</v>
      </c>
      <c r="B1339" s="33" t="s">
        <v>343</v>
      </c>
      <c r="C1339" s="33" t="s">
        <v>133</v>
      </c>
      <c r="D1339" s="29">
        <v>2.0</v>
      </c>
      <c r="E1339" s="39">
        <v>2300.0</v>
      </c>
      <c r="F1339" s="25" t="s">
        <v>10</v>
      </c>
      <c r="G1339" s="38">
        <v>45838.0</v>
      </c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 ht="14.25" customHeight="1">
      <c r="A1340" s="40">
        <v>45800.0</v>
      </c>
      <c r="B1340" s="33" t="s">
        <v>861</v>
      </c>
      <c r="C1340" s="33" t="s">
        <v>138</v>
      </c>
      <c r="D1340" s="29">
        <v>2.0</v>
      </c>
      <c r="E1340" s="30">
        <v>1650.0</v>
      </c>
      <c r="F1340" s="25" t="s">
        <v>10</v>
      </c>
      <c r="G1340" s="38">
        <v>45800.0</v>
      </c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 ht="14.25" customHeight="1">
      <c r="A1341" s="40">
        <v>45800.0</v>
      </c>
      <c r="B1341" s="33" t="s">
        <v>862</v>
      </c>
      <c r="C1341" s="33" t="s">
        <v>138</v>
      </c>
      <c r="D1341" s="29">
        <v>1.0</v>
      </c>
      <c r="E1341" s="30">
        <v>1650.0</v>
      </c>
      <c r="F1341" s="25" t="s">
        <v>10</v>
      </c>
      <c r="G1341" s="38">
        <v>45800.0</v>
      </c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 ht="14.25" customHeight="1">
      <c r="A1342" s="40">
        <v>45800.0</v>
      </c>
      <c r="B1342" s="33" t="s">
        <v>863</v>
      </c>
      <c r="C1342" s="33" t="s">
        <v>143</v>
      </c>
      <c r="D1342" s="29">
        <v>1.0</v>
      </c>
      <c r="E1342" s="30">
        <v>1250.0</v>
      </c>
      <c r="F1342" s="25" t="s">
        <v>10</v>
      </c>
      <c r="G1342" s="38">
        <v>45883.0</v>
      </c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 ht="14.25" customHeight="1">
      <c r="A1343" s="40">
        <v>45801.0</v>
      </c>
      <c r="B1343" s="33" t="s">
        <v>864</v>
      </c>
      <c r="C1343" s="33" t="s">
        <v>143</v>
      </c>
      <c r="D1343" s="29">
        <v>2.0</v>
      </c>
      <c r="E1343" s="30">
        <v>1400.0</v>
      </c>
      <c r="F1343" s="25" t="s">
        <v>10</v>
      </c>
      <c r="G1343" s="38">
        <v>45883.0</v>
      </c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 ht="14.25" customHeight="1">
      <c r="A1344" s="40">
        <v>45803.0</v>
      </c>
      <c r="B1344" s="33" t="s">
        <v>865</v>
      </c>
      <c r="C1344" s="33" t="s">
        <v>133</v>
      </c>
      <c r="D1344" s="29">
        <v>2.0</v>
      </c>
      <c r="E1344" s="30">
        <v>2900.0</v>
      </c>
      <c r="F1344" s="25" t="s">
        <v>10</v>
      </c>
      <c r="G1344" s="38">
        <v>45804.0</v>
      </c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 ht="14.25" customHeight="1">
      <c r="A1345" s="40">
        <v>45803.0</v>
      </c>
      <c r="B1345" s="33" t="s">
        <v>866</v>
      </c>
      <c r="C1345" s="33" t="s">
        <v>156</v>
      </c>
      <c r="D1345" s="29">
        <v>2.0</v>
      </c>
      <c r="E1345" s="30">
        <v>1460.0</v>
      </c>
      <c r="F1345" s="25" t="s">
        <v>10</v>
      </c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 ht="14.25" customHeight="1">
      <c r="A1346" s="40">
        <v>45804.0</v>
      </c>
      <c r="B1346" s="33" t="s">
        <v>867</v>
      </c>
      <c r="C1346" s="33" t="s">
        <v>138</v>
      </c>
      <c r="D1346" s="29">
        <v>4.0</v>
      </c>
      <c r="E1346" s="30">
        <v>4400.0</v>
      </c>
      <c r="F1346" s="25" t="s">
        <v>10</v>
      </c>
      <c r="G1346" s="38">
        <v>45804.0</v>
      </c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 ht="14.25" customHeight="1">
      <c r="A1347" s="40">
        <v>45804.0</v>
      </c>
      <c r="B1347" s="33" t="s">
        <v>868</v>
      </c>
      <c r="C1347" s="33" t="s">
        <v>9</v>
      </c>
      <c r="D1347" s="29">
        <v>2.0</v>
      </c>
      <c r="E1347" s="30">
        <v>1960.0</v>
      </c>
      <c r="F1347" s="25" t="s">
        <v>10</v>
      </c>
      <c r="G1347" s="38">
        <v>45804.0</v>
      </c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 ht="14.25" customHeight="1">
      <c r="A1348" s="40">
        <v>45804.0</v>
      </c>
      <c r="B1348" s="33" t="s">
        <v>611</v>
      </c>
      <c r="C1348" s="33" t="s">
        <v>154</v>
      </c>
      <c r="D1348" s="29">
        <v>1.0</v>
      </c>
      <c r="E1348" s="30">
        <v>1500.0</v>
      </c>
      <c r="F1348" s="25" t="s">
        <v>10</v>
      </c>
      <c r="G1348" s="38">
        <v>45804.0</v>
      </c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 ht="14.25" customHeight="1">
      <c r="A1349" s="40">
        <v>45804.0</v>
      </c>
      <c r="B1349" s="33" t="s">
        <v>869</v>
      </c>
      <c r="C1349" s="33" t="s">
        <v>138</v>
      </c>
      <c r="D1349" s="29">
        <v>1.0</v>
      </c>
      <c r="E1349" s="30">
        <v>1080.0</v>
      </c>
      <c r="F1349" s="25" t="s">
        <v>10</v>
      </c>
      <c r="G1349" s="38">
        <v>45804.0</v>
      </c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 ht="14.25" customHeight="1">
      <c r="A1350" s="40">
        <v>45805.0</v>
      </c>
      <c r="B1350" s="33" t="s">
        <v>870</v>
      </c>
      <c r="C1350" s="33" t="s">
        <v>154</v>
      </c>
      <c r="D1350" s="29">
        <v>1.0</v>
      </c>
      <c r="E1350" s="30">
        <v>1206.0</v>
      </c>
      <c r="F1350" s="25" t="s">
        <v>10</v>
      </c>
      <c r="G1350" s="38">
        <v>45805.0</v>
      </c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 ht="14.25" customHeight="1">
      <c r="A1351" s="40">
        <v>45805.0</v>
      </c>
      <c r="B1351" s="33" t="s">
        <v>871</v>
      </c>
      <c r="C1351" s="33" t="s">
        <v>138</v>
      </c>
      <c r="D1351" s="29">
        <v>2.0</v>
      </c>
      <c r="E1351" s="30">
        <v>4500.0</v>
      </c>
      <c r="F1351" s="25" t="s">
        <v>10</v>
      </c>
      <c r="G1351" s="38">
        <v>45805.0</v>
      </c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 ht="14.25" customHeight="1">
      <c r="A1352" s="40">
        <v>45805.0</v>
      </c>
      <c r="B1352" s="33" t="s">
        <v>343</v>
      </c>
      <c r="C1352" s="33" t="s">
        <v>133</v>
      </c>
      <c r="D1352" s="29">
        <v>2.0</v>
      </c>
      <c r="E1352" s="39">
        <v>2300.0</v>
      </c>
      <c r="F1352" s="25" t="s">
        <v>10</v>
      </c>
      <c r="G1352" s="38">
        <v>45838.0</v>
      </c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 ht="14.25" customHeight="1">
      <c r="A1353" s="40">
        <v>45805.0</v>
      </c>
      <c r="B1353" s="33" t="s">
        <v>13</v>
      </c>
      <c r="C1353" s="33" t="s">
        <v>133</v>
      </c>
      <c r="D1353" s="29">
        <v>4.0</v>
      </c>
      <c r="E1353" s="39">
        <v>5600.0</v>
      </c>
      <c r="F1353" s="25" t="s">
        <v>10</v>
      </c>
      <c r="G1353" s="38">
        <v>45838.0</v>
      </c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 ht="14.25" customHeight="1">
      <c r="A1354" s="40">
        <v>45806.0</v>
      </c>
      <c r="B1354" s="33" t="s">
        <v>663</v>
      </c>
      <c r="C1354" s="33" t="s">
        <v>128</v>
      </c>
      <c r="D1354" s="29">
        <v>2.0</v>
      </c>
      <c r="E1354" s="30">
        <v>3075.0</v>
      </c>
      <c r="F1354" s="25" t="s">
        <v>10</v>
      </c>
      <c r="G1354" s="38">
        <v>45806.0</v>
      </c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 ht="14.25" customHeight="1">
      <c r="A1355" s="40">
        <v>45806.0</v>
      </c>
      <c r="B1355" s="33" t="s">
        <v>872</v>
      </c>
      <c r="C1355" s="33" t="s">
        <v>133</v>
      </c>
      <c r="D1355" s="29">
        <v>2.0</v>
      </c>
      <c r="E1355" s="39">
        <v>3800.0</v>
      </c>
      <c r="F1355" s="25" t="s">
        <v>10</v>
      </c>
      <c r="G1355" s="38">
        <v>45838.0</v>
      </c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 ht="14.25" customHeight="1">
      <c r="A1356" s="40">
        <v>45806.0</v>
      </c>
      <c r="B1356" s="33" t="s">
        <v>873</v>
      </c>
      <c r="C1356" s="33" t="s">
        <v>9</v>
      </c>
      <c r="D1356" s="29">
        <v>2.0</v>
      </c>
      <c r="E1356" s="30">
        <v>1500.0</v>
      </c>
      <c r="F1356" s="25" t="s">
        <v>10</v>
      </c>
      <c r="G1356" s="38">
        <v>45806.0</v>
      </c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 ht="14.25" customHeight="1">
      <c r="A1357" s="40">
        <v>45806.0</v>
      </c>
      <c r="B1357" s="33" t="s">
        <v>874</v>
      </c>
      <c r="C1357" s="33" t="s">
        <v>133</v>
      </c>
      <c r="D1357" s="29">
        <v>1.0</v>
      </c>
      <c r="E1357" s="39">
        <v>1650.0</v>
      </c>
      <c r="F1357" s="25" t="s">
        <v>10</v>
      </c>
      <c r="G1357" s="38">
        <v>45838.0</v>
      </c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 ht="14.25" customHeight="1">
      <c r="A1358" s="40">
        <v>45806.0</v>
      </c>
      <c r="B1358" s="33" t="s">
        <v>875</v>
      </c>
      <c r="C1358" s="33" t="s">
        <v>133</v>
      </c>
      <c r="D1358" s="29">
        <v>1.0</v>
      </c>
      <c r="E1358" s="39">
        <v>1850.0</v>
      </c>
      <c r="F1358" s="25" t="s">
        <v>10</v>
      </c>
      <c r="G1358" s="38">
        <v>45838.0</v>
      </c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 ht="14.25" customHeight="1">
      <c r="A1359" s="40">
        <v>45806.0</v>
      </c>
      <c r="B1359" s="33" t="s">
        <v>876</v>
      </c>
      <c r="C1359" s="33" t="s">
        <v>138</v>
      </c>
      <c r="D1359" s="29">
        <v>2.0</v>
      </c>
      <c r="E1359" s="30">
        <v>1200.0</v>
      </c>
      <c r="F1359" s="25" t="s">
        <v>10</v>
      </c>
      <c r="G1359" s="38">
        <v>45806.0</v>
      </c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 ht="14.25" customHeight="1">
      <c r="A1360" s="40">
        <v>45806.0</v>
      </c>
      <c r="B1360" s="33" t="s">
        <v>47</v>
      </c>
      <c r="C1360" s="33" t="s">
        <v>143</v>
      </c>
      <c r="D1360" s="29">
        <v>2.0</v>
      </c>
      <c r="E1360" s="30">
        <v>3100.0</v>
      </c>
      <c r="F1360" s="25" t="s">
        <v>10</v>
      </c>
      <c r="G1360" s="38">
        <v>45883.0</v>
      </c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 ht="14.25" customHeight="1">
      <c r="A1361" s="40">
        <v>45807.0</v>
      </c>
      <c r="B1361" s="33" t="s">
        <v>846</v>
      </c>
      <c r="C1361" s="33" t="s">
        <v>9</v>
      </c>
      <c r="D1361" s="29">
        <v>2.0</v>
      </c>
      <c r="E1361" s="30">
        <v>1800.0</v>
      </c>
      <c r="F1361" s="25" t="s">
        <v>10</v>
      </c>
      <c r="G1361" s="38">
        <v>45807.0</v>
      </c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 ht="14.25" customHeight="1">
      <c r="A1362" s="40">
        <v>45807.0</v>
      </c>
      <c r="B1362" s="33" t="s">
        <v>500</v>
      </c>
      <c r="C1362" s="33" t="s">
        <v>133</v>
      </c>
      <c r="D1362" s="29">
        <v>2.0</v>
      </c>
      <c r="E1362" s="30">
        <v>1300.0</v>
      </c>
      <c r="F1362" s="25" t="s">
        <v>10</v>
      </c>
      <c r="G1362" s="38">
        <v>45807.0</v>
      </c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 ht="14.25" customHeight="1">
      <c r="A1363" s="40">
        <v>45807.0</v>
      </c>
      <c r="B1363" s="33" t="s">
        <v>877</v>
      </c>
      <c r="C1363" s="33" t="s">
        <v>138</v>
      </c>
      <c r="D1363" s="29">
        <v>4.0</v>
      </c>
      <c r="E1363" s="30">
        <v>4000.0</v>
      </c>
      <c r="F1363" s="25" t="s">
        <v>10</v>
      </c>
      <c r="G1363" s="38">
        <v>45807.0</v>
      </c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 ht="14.25" customHeight="1">
      <c r="A1364" s="40">
        <v>45807.0</v>
      </c>
      <c r="B1364" s="33" t="s">
        <v>878</v>
      </c>
      <c r="C1364" s="33" t="s">
        <v>138</v>
      </c>
      <c r="D1364" s="29">
        <v>2.0</v>
      </c>
      <c r="E1364" s="30">
        <v>880.0</v>
      </c>
      <c r="F1364" s="25" t="s">
        <v>10</v>
      </c>
      <c r="G1364" s="38">
        <v>45807.0</v>
      </c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 ht="14.25" customHeight="1">
      <c r="A1365" s="40">
        <v>45808.0</v>
      </c>
      <c r="B1365" s="33" t="s">
        <v>514</v>
      </c>
      <c r="C1365" s="33" t="s">
        <v>9</v>
      </c>
      <c r="D1365" s="29">
        <v>1.0</v>
      </c>
      <c r="E1365" s="30">
        <v>980.0</v>
      </c>
      <c r="F1365" s="25" t="s">
        <v>10</v>
      </c>
      <c r="G1365" s="38">
        <v>45808.0</v>
      </c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 ht="14.25" customHeight="1">
      <c r="A1366" s="40">
        <v>45808.0</v>
      </c>
      <c r="B1366" s="33" t="s">
        <v>200</v>
      </c>
      <c r="C1366" s="33" t="s">
        <v>9</v>
      </c>
      <c r="D1366" s="29">
        <v>2.0</v>
      </c>
      <c r="E1366" s="30">
        <v>1360.0</v>
      </c>
      <c r="F1366" s="25" t="s">
        <v>222</v>
      </c>
      <c r="G1366" s="38">
        <v>45808.0</v>
      </c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 ht="14.25" customHeight="1">
      <c r="A1367" s="40">
        <v>45808.0</v>
      </c>
      <c r="B1367" s="33" t="s">
        <v>297</v>
      </c>
      <c r="C1367" s="33" t="s">
        <v>133</v>
      </c>
      <c r="D1367" s="29">
        <v>4.0</v>
      </c>
      <c r="E1367" s="39">
        <v>2920.0</v>
      </c>
      <c r="F1367" s="25" t="s">
        <v>10</v>
      </c>
      <c r="G1367" s="38">
        <v>45838.0</v>
      </c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 ht="14.25" customHeight="1">
      <c r="A1368" s="40">
        <v>45810.0</v>
      </c>
      <c r="B1368" s="33" t="s">
        <v>879</v>
      </c>
      <c r="C1368" s="33" t="s">
        <v>154</v>
      </c>
      <c r="D1368" s="29">
        <v>2.0</v>
      </c>
      <c r="E1368" s="30">
        <v>1500.0</v>
      </c>
      <c r="F1368" s="25" t="s">
        <v>10</v>
      </c>
      <c r="G1368" s="38">
        <v>45810.0</v>
      </c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 ht="14.25" customHeight="1">
      <c r="A1369" s="40">
        <v>45810.0</v>
      </c>
      <c r="B1369" s="33" t="s">
        <v>19</v>
      </c>
      <c r="C1369" s="33" t="s">
        <v>9</v>
      </c>
      <c r="D1369" s="29">
        <v>1.0</v>
      </c>
      <c r="E1369" s="30">
        <v>1350.0</v>
      </c>
      <c r="F1369" s="25" t="s">
        <v>10</v>
      </c>
      <c r="G1369" s="38">
        <v>45810.0</v>
      </c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 ht="14.25" customHeight="1">
      <c r="A1370" s="40">
        <v>45810.0</v>
      </c>
      <c r="B1370" s="33" t="s">
        <v>64</v>
      </c>
      <c r="C1370" s="33" t="s">
        <v>9</v>
      </c>
      <c r="D1370" s="29">
        <v>2.0</v>
      </c>
      <c r="E1370" s="30">
        <v>1240.0</v>
      </c>
      <c r="F1370" s="25" t="s">
        <v>10</v>
      </c>
      <c r="G1370" s="38">
        <v>45810.0</v>
      </c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 ht="14.25" customHeight="1">
      <c r="A1371" s="40">
        <v>45810.0</v>
      </c>
      <c r="B1371" s="33" t="s">
        <v>880</v>
      </c>
      <c r="C1371" s="33" t="s">
        <v>143</v>
      </c>
      <c r="D1371" s="29">
        <v>2.0</v>
      </c>
      <c r="E1371" s="39">
        <v>5800.0</v>
      </c>
      <c r="F1371" s="25" t="s">
        <v>10</v>
      </c>
      <c r="G1371" s="38">
        <v>45911.0</v>
      </c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 ht="14.25" customHeight="1">
      <c r="A1372" s="40">
        <v>45811.0</v>
      </c>
      <c r="B1372" s="33" t="s">
        <v>881</v>
      </c>
      <c r="C1372" s="33" t="s">
        <v>126</v>
      </c>
      <c r="D1372" s="29">
        <v>1.0</v>
      </c>
      <c r="E1372" s="39">
        <v>2750.0</v>
      </c>
      <c r="F1372" s="25" t="s">
        <v>10</v>
      </c>
      <c r="G1372" s="38">
        <v>45896.0</v>
      </c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 ht="14.25" customHeight="1">
      <c r="A1373" s="40">
        <v>45811.0</v>
      </c>
      <c r="B1373" s="33" t="s">
        <v>882</v>
      </c>
      <c r="C1373" s="33" t="s">
        <v>154</v>
      </c>
      <c r="D1373" s="29">
        <v>2.0</v>
      </c>
      <c r="E1373" s="30">
        <v>2413.0</v>
      </c>
      <c r="F1373" s="25" t="s">
        <v>10</v>
      </c>
      <c r="G1373" s="38">
        <v>45811.0</v>
      </c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 ht="14.25" customHeight="1">
      <c r="A1374" s="40">
        <v>45811.0</v>
      </c>
      <c r="B1374" s="33" t="s">
        <v>883</v>
      </c>
      <c r="C1374" s="33" t="s">
        <v>322</v>
      </c>
      <c r="D1374" s="29">
        <v>2.0</v>
      </c>
      <c r="E1374" s="30">
        <v>1900.0</v>
      </c>
      <c r="F1374" s="25" t="s">
        <v>10</v>
      </c>
      <c r="G1374" s="38">
        <v>46053.0</v>
      </c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 ht="14.25" customHeight="1">
      <c r="A1375" s="40">
        <v>45811.0</v>
      </c>
      <c r="B1375" s="33" t="s">
        <v>702</v>
      </c>
      <c r="C1375" s="33" t="s">
        <v>138</v>
      </c>
      <c r="D1375" s="29">
        <v>4.0</v>
      </c>
      <c r="E1375" s="30">
        <v>4000.0</v>
      </c>
      <c r="F1375" s="25" t="s">
        <v>10</v>
      </c>
      <c r="G1375" s="38">
        <v>45811.0</v>
      </c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 ht="14.25" customHeight="1">
      <c r="A1376" s="40">
        <v>45812.0</v>
      </c>
      <c r="B1376" s="33" t="s">
        <v>884</v>
      </c>
      <c r="C1376" s="33" t="s">
        <v>143</v>
      </c>
      <c r="D1376" s="29">
        <v>2.0</v>
      </c>
      <c r="E1376" s="39">
        <v>3000.0</v>
      </c>
      <c r="F1376" s="25" t="s">
        <v>10</v>
      </c>
      <c r="G1376" s="38">
        <v>45911.0</v>
      </c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 ht="14.25" customHeight="1">
      <c r="A1377" s="40">
        <v>45812.0</v>
      </c>
      <c r="B1377" s="33" t="s">
        <v>885</v>
      </c>
      <c r="C1377" s="33" t="s">
        <v>138</v>
      </c>
      <c r="D1377" s="29">
        <v>2.0</v>
      </c>
      <c r="E1377" s="30">
        <v>2200.0</v>
      </c>
      <c r="F1377" s="25" t="s">
        <v>10</v>
      </c>
      <c r="G1377" s="38">
        <v>45812.0</v>
      </c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 ht="14.25" customHeight="1">
      <c r="A1378" s="40">
        <v>45812.0</v>
      </c>
      <c r="B1378" s="33" t="s">
        <v>886</v>
      </c>
      <c r="C1378" s="33" t="s">
        <v>138</v>
      </c>
      <c r="D1378" s="29">
        <v>4.0</v>
      </c>
      <c r="E1378" s="30">
        <v>4800.0</v>
      </c>
      <c r="F1378" s="25" t="s">
        <v>10</v>
      </c>
      <c r="G1378" s="38">
        <v>45812.0</v>
      </c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 ht="14.25" customHeight="1">
      <c r="A1379" s="40">
        <v>45813.0</v>
      </c>
      <c r="B1379" s="33" t="s">
        <v>887</v>
      </c>
      <c r="C1379" s="33" t="s">
        <v>138</v>
      </c>
      <c r="D1379" s="29">
        <v>2.0</v>
      </c>
      <c r="E1379" s="30">
        <v>1510.0</v>
      </c>
      <c r="F1379" s="25" t="s">
        <v>10</v>
      </c>
      <c r="G1379" s="38">
        <v>45813.0</v>
      </c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 ht="14.25" customHeight="1">
      <c r="A1380" s="40">
        <v>45813.0</v>
      </c>
      <c r="B1380" s="33" t="s">
        <v>888</v>
      </c>
      <c r="C1380" s="33" t="s">
        <v>133</v>
      </c>
      <c r="D1380" s="29">
        <v>2.0</v>
      </c>
      <c r="E1380" s="39">
        <v>3800.0</v>
      </c>
      <c r="F1380" s="25" t="s">
        <v>10</v>
      </c>
      <c r="G1380" s="38">
        <v>45867.0</v>
      </c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 ht="14.25" customHeight="1">
      <c r="A1381" s="40">
        <v>45813.0</v>
      </c>
      <c r="B1381" s="33" t="s">
        <v>889</v>
      </c>
      <c r="C1381" s="33" t="s">
        <v>138</v>
      </c>
      <c r="D1381" s="29">
        <v>1.0</v>
      </c>
      <c r="E1381" s="30">
        <v>615.0</v>
      </c>
      <c r="F1381" s="25" t="s">
        <v>10</v>
      </c>
      <c r="G1381" s="38">
        <v>45813.0</v>
      </c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 ht="14.25" customHeight="1">
      <c r="A1382" s="40">
        <v>45813.0</v>
      </c>
      <c r="B1382" s="33" t="s">
        <v>890</v>
      </c>
      <c r="C1382" s="33" t="s">
        <v>133</v>
      </c>
      <c r="D1382" s="29">
        <v>4.0</v>
      </c>
      <c r="E1382" s="24">
        <f>1460*4</f>
        <v>5840</v>
      </c>
      <c r="F1382" s="25" t="s">
        <v>10</v>
      </c>
      <c r="G1382" s="38">
        <v>45867.0</v>
      </c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 ht="14.25" customHeight="1">
      <c r="A1383" s="40">
        <v>45814.0</v>
      </c>
      <c r="B1383" s="33" t="s">
        <v>888</v>
      </c>
      <c r="C1383" s="33" t="s">
        <v>133</v>
      </c>
      <c r="D1383" s="29">
        <v>2.0</v>
      </c>
      <c r="E1383" s="39">
        <v>3800.0</v>
      </c>
      <c r="F1383" s="25" t="s">
        <v>10</v>
      </c>
      <c r="G1383" s="38">
        <v>45867.0</v>
      </c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 ht="14.25" customHeight="1">
      <c r="A1384" s="40">
        <v>45814.0</v>
      </c>
      <c r="B1384" s="33" t="s">
        <v>891</v>
      </c>
      <c r="C1384" s="33" t="s">
        <v>9</v>
      </c>
      <c r="D1384" s="29">
        <v>1.0</v>
      </c>
      <c r="E1384" s="30">
        <v>1450.0</v>
      </c>
      <c r="F1384" s="25" t="s">
        <v>10</v>
      </c>
      <c r="G1384" s="38">
        <v>45814.0</v>
      </c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 ht="14.25" customHeight="1">
      <c r="A1385" s="40">
        <v>45814.0</v>
      </c>
      <c r="B1385" s="33" t="s">
        <v>892</v>
      </c>
      <c r="C1385" s="33" t="s">
        <v>128</v>
      </c>
      <c r="D1385" s="29">
        <v>1.0</v>
      </c>
      <c r="E1385" s="30">
        <v>1914.0</v>
      </c>
      <c r="F1385" s="25" t="s">
        <v>10</v>
      </c>
      <c r="G1385" s="38">
        <v>45814.0</v>
      </c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 ht="14.25" customHeight="1">
      <c r="A1386" s="40">
        <v>45818.0</v>
      </c>
      <c r="B1386" s="33" t="s">
        <v>893</v>
      </c>
      <c r="C1386" s="33" t="s">
        <v>133</v>
      </c>
      <c r="D1386" s="29">
        <v>4.0</v>
      </c>
      <c r="E1386" s="39">
        <v>4120.0</v>
      </c>
      <c r="F1386" s="25" t="s">
        <v>10</v>
      </c>
      <c r="G1386" s="38">
        <v>45867.0</v>
      </c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 ht="14.25" customHeight="1">
      <c r="A1387" s="40">
        <v>45819.0</v>
      </c>
      <c r="B1387" s="33" t="s">
        <v>87</v>
      </c>
      <c r="C1387" s="33" t="s">
        <v>9</v>
      </c>
      <c r="D1387" s="29">
        <v>1.0</v>
      </c>
      <c r="E1387" s="30">
        <v>540.0</v>
      </c>
      <c r="F1387" s="25" t="s">
        <v>10</v>
      </c>
      <c r="G1387" s="38">
        <v>45819.0</v>
      </c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 ht="14.25" customHeight="1">
      <c r="A1388" s="40">
        <v>45819.0</v>
      </c>
      <c r="B1388" s="33" t="s">
        <v>64</v>
      </c>
      <c r="C1388" s="33" t="s">
        <v>9</v>
      </c>
      <c r="D1388" s="29">
        <v>4.0</v>
      </c>
      <c r="E1388" s="30">
        <v>2480.0</v>
      </c>
      <c r="F1388" s="25" t="s">
        <v>10</v>
      </c>
      <c r="G1388" s="38">
        <v>45819.0</v>
      </c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 ht="14.25" customHeight="1">
      <c r="A1389" s="40">
        <v>45819.0</v>
      </c>
      <c r="B1389" s="33" t="s">
        <v>837</v>
      </c>
      <c r="C1389" s="33" t="s">
        <v>143</v>
      </c>
      <c r="D1389" s="29">
        <v>2.0</v>
      </c>
      <c r="E1389" s="30">
        <v>2600.0</v>
      </c>
      <c r="F1389" s="25" t="s">
        <v>10</v>
      </c>
      <c r="G1389" s="38">
        <v>45820.0</v>
      </c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 ht="14.25" customHeight="1">
      <c r="A1390" s="40">
        <v>45820.0</v>
      </c>
      <c r="B1390" s="33" t="s">
        <v>64</v>
      </c>
      <c r="C1390" s="33" t="s">
        <v>9</v>
      </c>
      <c r="D1390" s="29">
        <v>4.0</v>
      </c>
      <c r="E1390" s="30">
        <v>2480.0</v>
      </c>
      <c r="F1390" s="25" t="s">
        <v>10</v>
      </c>
      <c r="G1390" s="38">
        <v>45821.0</v>
      </c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 ht="14.25" customHeight="1">
      <c r="A1391" s="40">
        <v>45820.0</v>
      </c>
      <c r="B1391" s="33" t="s">
        <v>894</v>
      </c>
      <c r="C1391" s="33" t="s">
        <v>138</v>
      </c>
      <c r="D1391" s="29">
        <v>2.0</v>
      </c>
      <c r="E1391" s="30">
        <v>1500.0</v>
      </c>
      <c r="F1391" s="25" t="s">
        <v>10</v>
      </c>
      <c r="G1391" s="38">
        <v>45820.0</v>
      </c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 ht="14.25" customHeight="1">
      <c r="A1392" s="40">
        <v>45820.0</v>
      </c>
      <c r="B1392" s="33" t="s">
        <v>196</v>
      </c>
      <c r="C1392" s="33" t="s">
        <v>138</v>
      </c>
      <c r="D1392" s="29">
        <v>2.0</v>
      </c>
      <c r="E1392" s="30">
        <v>1560.0</v>
      </c>
      <c r="F1392" s="25" t="s">
        <v>10</v>
      </c>
      <c r="G1392" s="38">
        <v>45820.0</v>
      </c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 ht="14.25" customHeight="1">
      <c r="A1393" s="40">
        <v>45820.0</v>
      </c>
      <c r="B1393" s="33" t="s">
        <v>895</v>
      </c>
      <c r="C1393" s="33" t="s">
        <v>138</v>
      </c>
      <c r="D1393" s="29">
        <v>4.0</v>
      </c>
      <c r="E1393" s="30">
        <v>3760.0</v>
      </c>
      <c r="F1393" s="25" t="s">
        <v>10</v>
      </c>
      <c r="G1393" s="38">
        <v>45820.0</v>
      </c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 ht="14.25" customHeight="1">
      <c r="A1394" s="40">
        <v>45820.0</v>
      </c>
      <c r="B1394" s="33" t="s">
        <v>39</v>
      </c>
      <c r="C1394" s="33" t="s">
        <v>138</v>
      </c>
      <c r="D1394" s="29">
        <v>4.0</v>
      </c>
      <c r="E1394" s="30">
        <v>3940.0</v>
      </c>
      <c r="F1394" s="25" t="s">
        <v>10</v>
      </c>
      <c r="G1394" s="38">
        <v>45820.0</v>
      </c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 ht="14.25" customHeight="1">
      <c r="A1395" s="40">
        <v>45820.0</v>
      </c>
      <c r="B1395" s="33" t="s">
        <v>343</v>
      </c>
      <c r="C1395" s="33" t="s">
        <v>133</v>
      </c>
      <c r="D1395" s="29">
        <v>4.0</v>
      </c>
      <c r="E1395" s="39">
        <v>4600.0</v>
      </c>
      <c r="F1395" s="25" t="s">
        <v>10</v>
      </c>
      <c r="G1395" s="38">
        <v>45867.0</v>
      </c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 ht="14.25" customHeight="1">
      <c r="A1396" s="40">
        <v>45820.0</v>
      </c>
      <c r="B1396" s="33" t="s">
        <v>47</v>
      </c>
      <c r="C1396" s="33" t="s">
        <v>143</v>
      </c>
      <c r="D1396" s="29">
        <v>2.0</v>
      </c>
      <c r="E1396" s="39">
        <v>3100.0</v>
      </c>
      <c r="F1396" s="25" t="s">
        <v>10</v>
      </c>
      <c r="G1396" s="38">
        <v>45911.0</v>
      </c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 ht="14.25" customHeight="1">
      <c r="A1397" s="40">
        <v>45820.0</v>
      </c>
      <c r="B1397" s="33" t="s">
        <v>896</v>
      </c>
      <c r="C1397" s="33" t="s">
        <v>9</v>
      </c>
      <c r="D1397" s="29">
        <v>2.0</v>
      </c>
      <c r="E1397" s="30">
        <v>2100.0</v>
      </c>
      <c r="F1397" s="25" t="s">
        <v>10</v>
      </c>
      <c r="G1397" s="38">
        <v>45821.0</v>
      </c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 ht="14.25" customHeight="1">
      <c r="A1398" s="40">
        <v>45820.0</v>
      </c>
      <c r="B1398" s="33" t="s">
        <v>897</v>
      </c>
      <c r="C1398" s="33" t="s">
        <v>83</v>
      </c>
      <c r="D1398" s="29">
        <v>4.0</v>
      </c>
      <c r="E1398" s="30">
        <v>5600.0</v>
      </c>
      <c r="F1398" s="25" t="s">
        <v>10</v>
      </c>
      <c r="G1398" s="38">
        <v>45820.0</v>
      </c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 ht="14.25" customHeight="1">
      <c r="A1399" s="40">
        <v>45821.0</v>
      </c>
      <c r="B1399" s="33" t="s">
        <v>551</v>
      </c>
      <c r="C1399" s="33" t="s">
        <v>143</v>
      </c>
      <c r="D1399" s="29">
        <v>2.0</v>
      </c>
      <c r="E1399" s="39">
        <v>2300.0</v>
      </c>
      <c r="F1399" s="25" t="s">
        <v>10</v>
      </c>
      <c r="G1399" s="38">
        <v>45911.0</v>
      </c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 ht="14.25" customHeight="1">
      <c r="A1400" s="40">
        <v>45821.0</v>
      </c>
      <c r="B1400" s="33" t="s">
        <v>584</v>
      </c>
      <c r="C1400" s="33" t="s">
        <v>143</v>
      </c>
      <c r="D1400" s="29">
        <v>2.0</v>
      </c>
      <c r="E1400" s="39">
        <v>2500.0</v>
      </c>
      <c r="F1400" s="25" t="s">
        <v>10</v>
      </c>
      <c r="G1400" s="38">
        <v>45911.0</v>
      </c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 ht="14.25" customHeight="1">
      <c r="A1401" s="40">
        <v>45821.0</v>
      </c>
      <c r="B1401" s="33" t="s">
        <v>869</v>
      </c>
      <c r="C1401" s="33" t="s">
        <v>138</v>
      </c>
      <c r="D1401" s="29">
        <v>2.0</v>
      </c>
      <c r="E1401" s="30">
        <v>2160.0</v>
      </c>
      <c r="F1401" s="25" t="s">
        <v>10</v>
      </c>
      <c r="G1401" s="38">
        <v>45821.0</v>
      </c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 ht="14.25" customHeight="1">
      <c r="A1402" s="40">
        <v>45821.0</v>
      </c>
      <c r="B1402" s="33" t="s">
        <v>584</v>
      </c>
      <c r="C1402" s="33" t="s">
        <v>138</v>
      </c>
      <c r="D1402" s="29">
        <v>2.0</v>
      </c>
      <c r="E1402" s="30">
        <v>2840.0</v>
      </c>
      <c r="F1402" s="25" t="s">
        <v>10</v>
      </c>
      <c r="G1402" s="38">
        <v>45821.0</v>
      </c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 ht="14.25" customHeight="1">
      <c r="A1403" s="40">
        <v>45821.0</v>
      </c>
      <c r="B1403" s="33" t="s">
        <v>214</v>
      </c>
      <c r="C1403" s="33" t="s">
        <v>9</v>
      </c>
      <c r="D1403" s="29">
        <v>1.0</v>
      </c>
      <c r="E1403" s="30">
        <v>1350.0</v>
      </c>
      <c r="F1403" s="25" t="s">
        <v>10</v>
      </c>
      <c r="G1403" s="38">
        <v>45821.0</v>
      </c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 ht="14.25" customHeight="1">
      <c r="A1404" s="40">
        <v>45821.0</v>
      </c>
      <c r="B1404" s="33" t="s">
        <v>879</v>
      </c>
      <c r="C1404" s="33" t="s">
        <v>154</v>
      </c>
      <c r="D1404" s="29">
        <v>2.0</v>
      </c>
      <c r="E1404" s="30">
        <v>1500.0</v>
      </c>
      <c r="F1404" s="25" t="s">
        <v>10</v>
      </c>
      <c r="G1404" s="38">
        <v>45821.0</v>
      </c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 ht="14.25" customHeight="1">
      <c r="A1405" s="40">
        <v>45821.0</v>
      </c>
      <c r="B1405" s="33" t="s">
        <v>258</v>
      </c>
      <c r="C1405" s="33" t="s">
        <v>9</v>
      </c>
      <c r="D1405" s="29">
        <v>4.0</v>
      </c>
      <c r="E1405" s="30">
        <v>1840.0</v>
      </c>
      <c r="F1405" s="25" t="s">
        <v>10</v>
      </c>
      <c r="G1405" s="38">
        <v>45821.0</v>
      </c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 ht="14.25" customHeight="1">
      <c r="A1406" s="40">
        <v>45821.0</v>
      </c>
      <c r="B1406" s="33" t="s">
        <v>898</v>
      </c>
      <c r="C1406" s="33" t="s">
        <v>9</v>
      </c>
      <c r="D1406" s="29">
        <v>2.0</v>
      </c>
      <c r="E1406" s="30">
        <v>2500.0</v>
      </c>
      <c r="F1406" s="25" t="s">
        <v>10</v>
      </c>
      <c r="G1406" s="38">
        <v>45821.0</v>
      </c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 ht="14.25" customHeight="1">
      <c r="A1407" s="40">
        <v>45822.0</v>
      </c>
      <c r="B1407" s="33" t="s">
        <v>828</v>
      </c>
      <c r="C1407" s="33" t="s">
        <v>133</v>
      </c>
      <c r="D1407" s="29">
        <v>2.0</v>
      </c>
      <c r="E1407" s="39">
        <v>2560.0</v>
      </c>
      <c r="F1407" s="25" t="s">
        <v>10</v>
      </c>
      <c r="G1407" s="38">
        <v>45874.0</v>
      </c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 ht="14.25" customHeight="1">
      <c r="A1408" s="40">
        <v>45824.0</v>
      </c>
      <c r="B1408" s="33" t="s">
        <v>899</v>
      </c>
      <c r="C1408" s="33" t="s">
        <v>138</v>
      </c>
      <c r="D1408" s="29">
        <v>1.0</v>
      </c>
      <c r="E1408" s="30">
        <v>1550.0</v>
      </c>
      <c r="F1408" s="25" t="s">
        <v>10</v>
      </c>
      <c r="G1408" s="38">
        <v>45824.0</v>
      </c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 ht="14.25" customHeight="1">
      <c r="A1409" s="40">
        <v>45824.0</v>
      </c>
      <c r="B1409" s="33" t="s">
        <v>196</v>
      </c>
      <c r="C1409" s="33" t="s">
        <v>138</v>
      </c>
      <c r="D1409" s="29">
        <v>2.0</v>
      </c>
      <c r="E1409" s="30">
        <v>1560.0</v>
      </c>
      <c r="F1409" s="25" t="s">
        <v>10</v>
      </c>
      <c r="G1409" s="38">
        <v>45824.0</v>
      </c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 ht="14.25" customHeight="1">
      <c r="A1410" s="40">
        <v>45824.0</v>
      </c>
      <c r="B1410" s="33" t="s">
        <v>343</v>
      </c>
      <c r="C1410" s="33" t="s">
        <v>126</v>
      </c>
      <c r="D1410" s="29">
        <v>2.0</v>
      </c>
      <c r="E1410" s="30">
        <v>2440.0</v>
      </c>
      <c r="F1410" s="25" t="s">
        <v>10</v>
      </c>
      <c r="G1410" s="26">
        <v>45952.0</v>
      </c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 ht="14.25" customHeight="1">
      <c r="A1411" s="40">
        <v>45824.0</v>
      </c>
      <c r="B1411" s="33" t="s">
        <v>900</v>
      </c>
      <c r="C1411" s="33" t="s">
        <v>83</v>
      </c>
      <c r="D1411" s="29">
        <v>1.0</v>
      </c>
      <c r="E1411" s="30">
        <v>2200.0</v>
      </c>
      <c r="F1411" s="25" t="s">
        <v>10</v>
      </c>
      <c r="G1411" s="38">
        <v>45824.0</v>
      </c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 ht="14.25" customHeight="1">
      <c r="A1412" s="40">
        <v>45825.0</v>
      </c>
      <c r="B1412" s="33" t="s">
        <v>279</v>
      </c>
      <c r="C1412" s="33" t="s">
        <v>138</v>
      </c>
      <c r="D1412" s="29">
        <v>2.0</v>
      </c>
      <c r="E1412" s="30">
        <v>4600.0</v>
      </c>
      <c r="F1412" s="25" t="s">
        <v>10</v>
      </c>
      <c r="G1412" s="38">
        <v>45825.0</v>
      </c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 ht="14.25" customHeight="1">
      <c r="A1413" s="40">
        <v>45825.0</v>
      </c>
      <c r="B1413" s="33" t="s">
        <v>901</v>
      </c>
      <c r="C1413" s="33" t="s">
        <v>138</v>
      </c>
      <c r="D1413" s="29">
        <v>1.0</v>
      </c>
      <c r="E1413" s="30">
        <v>835.0</v>
      </c>
      <c r="F1413" s="25" t="s">
        <v>10</v>
      </c>
      <c r="G1413" s="38">
        <v>45825.0</v>
      </c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 ht="14.25" customHeight="1">
      <c r="A1414" s="40">
        <v>45826.0</v>
      </c>
      <c r="B1414" s="33" t="s">
        <v>196</v>
      </c>
      <c r="C1414" s="33" t="s">
        <v>138</v>
      </c>
      <c r="D1414" s="29">
        <v>2.0</v>
      </c>
      <c r="E1414" s="30">
        <v>1560.0</v>
      </c>
      <c r="F1414" s="25" t="s">
        <v>10</v>
      </c>
      <c r="G1414" s="38">
        <v>45826.0</v>
      </c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 ht="14.25" customHeight="1">
      <c r="A1415" s="40">
        <v>45826.0</v>
      </c>
      <c r="B1415" s="33" t="s">
        <v>493</v>
      </c>
      <c r="C1415" s="33" t="s">
        <v>133</v>
      </c>
      <c r="D1415" s="29">
        <v>4.0</v>
      </c>
      <c r="E1415" s="39">
        <v>4400.0</v>
      </c>
      <c r="F1415" s="25" t="s">
        <v>10</v>
      </c>
      <c r="G1415" s="38">
        <v>45874.0</v>
      </c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 ht="14.25" customHeight="1">
      <c r="A1416" s="40">
        <v>45826.0</v>
      </c>
      <c r="B1416" s="33" t="s">
        <v>343</v>
      </c>
      <c r="C1416" s="33" t="s">
        <v>159</v>
      </c>
      <c r="D1416" s="29">
        <v>2.0</v>
      </c>
      <c r="E1416" s="30">
        <v>2400.0</v>
      </c>
      <c r="F1416" s="25" t="s">
        <v>10</v>
      </c>
      <c r="G1416" s="38">
        <v>45826.0</v>
      </c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 ht="14.25" customHeight="1">
      <c r="A1417" s="40">
        <v>45826.0</v>
      </c>
      <c r="B1417" s="33" t="s">
        <v>902</v>
      </c>
      <c r="C1417" s="33" t="s">
        <v>325</v>
      </c>
      <c r="D1417" s="29">
        <v>4.0</v>
      </c>
      <c r="E1417" s="30">
        <v>5200.0</v>
      </c>
      <c r="F1417" s="25" t="s">
        <v>10</v>
      </c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 ht="14.25" customHeight="1">
      <c r="A1418" s="40">
        <v>45827.0</v>
      </c>
      <c r="B1418" s="33" t="s">
        <v>903</v>
      </c>
      <c r="C1418" s="33" t="s">
        <v>138</v>
      </c>
      <c r="D1418" s="29">
        <v>2.0</v>
      </c>
      <c r="E1418" s="30">
        <v>1720.0</v>
      </c>
      <c r="F1418" s="25" t="s">
        <v>10</v>
      </c>
      <c r="G1418" s="38">
        <v>45827.0</v>
      </c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 ht="14.25" customHeight="1">
      <c r="A1419" s="40">
        <v>45827.0</v>
      </c>
      <c r="B1419" s="33" t="s">
        <v>894</v>
      </c>
      <c r="C1419" s="33" t="s">
        <v>138</v>
      </c>
      <c r="D1419" s="29">
        <v>2.0</v>
      </c>
      <c r="E1419" s="30">
        <v>1500.0</v>
      </c>
      <c r="F1419" s="25" t="s">
        <v>10</v>
      </c>
      <c r="G1419" s="38">
        <v>45827.0</v>
      </c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 ht="14.25" customHeight="1">
      <c r="A1420" s="40">
        <v>45827.0</v>
      </c>
      <c r="B1420" s="33" t="s">
        <v>694</v>
      </c>
      <c r="C1420" s="33" t="s">
        <v>9</v>
      </c>
      <c r="D1420" s="29">
        <v>4.0</v>
      </c>
      <c r="E1420" s="30">
        <v>2480.0</v>
      </c>
      <c r="F1420" s="25" t="s">
        <v>10</v>
      </c>
      <c r="G1420" s="38">
        <v>45828.0</v>
      </c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 ht="14.25" customHeight="1">
      <c r="A1421" s="40">
        <v>45828.0</v>
      </c>
      <c r="B1421" s="33" t="s">
        <v>904</v>
      </c>
      <c r="C1421" s="33" t="s">
        <v>133</v>
      </c>
      <c r="D1421" s="29">
        <v>4.0</v>
      </c>
      <c r="E1421" s="39">
        <v>7880.0</v>
      </c>
      <c r="F1421" s="25" t="s">
        <v>10</v>
      </c>
      <c r="G1421" s="38">
        <v>45874.0</v>
      </c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 ht="14.25" customHeight="1">
      <c r="A1422" s="40">
        <v>45828.0</v>
      </c>
      <c r="B1422" s="33" t="s">
        <v>854</v>
      </c>
      <c r="C1422" s="33" t="s">
        <v>143</v>
      </c>
      <c r="D1422" s="29">
        <v>2.0</v>
      </c>
      <c r="E1422" s="39">
        <v>2400.0</v>
      </c>
      <c r="F1422" s="25" t="s">
        <v>10</v>
      </c>
      <c r="G1422" s="38">
        <v>45911.0</v>
      </c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 ht="14.25" customHeight="1">
      <c r="A1423" s="40">
        <v>45828.0</v>
      </c>
      <c r="B1423" s="33" t="s">
        <v>432</v>
      </c>
      <c r="C1423" s="33" t="s">
        <v>154</v>
      </c>
      <c r="D1423" s="29">
        <v>2.0</v>
      </c>
      <c r="E1423" s="30">
        <v>2308.0</v>
      </c>
      <c r="F1423" s="25" t="s">
        <v>10</v>
      </c>
      <c r="G1423" s="38">
        <v>45828.0</v>
      </c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 ht="14.25" customHeight="1">
      <c r="A1424" s="40">
        <v>45828.0</v>
      </c>
      <c r="B1424" s="33" t="s">
        <v>905</v>
      </c>
      <c r="C1424" s="33" t="s">
        <v>133</v>
      </c>
      <c r="D1424" s="29">
        <v>2.0</v>
      </c>
      <c r="E1424" s="39">
        <v>4600.0</v>
      </c>
      <c r="F1424" s="25" t="s">
        <v>10</v>
      </c>
      <c r="G1424" s="38">
        <v>45874.0</v>
      </c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 ht="14.25" customHeight="1">
      <c r="A1425" s="40">
        <v>45828.0</v>
      </c>
      <c r="B1425" s="33" t="s">
        <v>387</v>
      </c>
      <c r="C1425" s="33" t="s">
        <v>325</v>
      </c>
      <c r="D1425" s="29">
        <v>2.0</v>
      </c>
      <c r="E1425" s="30">
        <v>3140.0</v>
      </c>
      <c r="F1425" s="25" t="s">
        <v>10</v>
      </c>
      <c r="G1425" s="26">
        <v>45973.0</v>
      </c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 ht="14.25" customHeight="1">
      <c r="A1426" s="40">
        <v>45829.0</v>
      </c>
      <c r="B1426" s="33" t="s">
        <v>906</v>
      </c>
      <c r="C1426" s="33" t="s">
        <v>154</v>
      </c>
      <c r="D1426" s="29">
        <v>2.0</v>
      </c>
      <c r="E1426" s="30">
        <v>2681.0</v>
      </c>
      <c r="F1426" s="25" t="s">
        <v>10</v>
      </c>
      <c r="G1426" s="38">
        <v>45829.0</v>
      </c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 ht="14.25" customHeight="1">
      <c r="A1427" s="40">
        <v>45831.0</v>
      </c>
      <c r="B1427" s="33" t="s">
        <v>258</v>
      </c>
      <c r="C1427" s="33" t="s">
        <v>9</v>
      </c>
      <c r="D1427" s="29">
        <v>4.0</v>
      </c>
      <c r="E1427" s="30">
        <v>1840.0</v>
      </c>
      <c r="F1427" s="25" t="s">
        <v>10</v>
      </c>
      <c r="G1427" s="38">
        <v>45831.0</v>
      </c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 ht="14.25" customHeight="1">
      <c r="A1428" s="40">
        <v>45831.0</v>
      </c>
      <c r="B1428" s="33" t="s">
        <v>907</v>
      </c>
      <c r="C1428" s="33" t="s">
        <v>138</v>
      </c>
      <c r="D1428" s="29">
        <v>4.0</v>
      </c>
      <c r="E1428" s="30">
        <v>5500.0</v>
      </c>
      <c r="F1428" s="25" t="s">
        <v>10</v>
      </c>
      <c r="G1428" s="38">
        <v>45831.0</v>
      </c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 ht="14.25" customHeight="1">
      <c r="A1429" s="40">
        <v>45831.0</v>
      </c>
      <c r="B1429" s="33" t="s">
        <v>854</v>
      </c>
      <c r="C1429" s="33" t="s">
        <v>143</v>
      </c>
      <c r="D1429" s="29">
        <v>2.0</v>
      </c>
      <c r="E1429" s="39">
        <v>2400.0</v>
      </c>
      <c r="F1429" s="25" t="s">
        <v>10</v>
      </c>
      <c r="G1429" s="38">
        <v>45911.0</v>
      </c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 ht="14.25" customHeight="1">
      <c r="A1430" s="40">
        <v>45831.0</v>
      </c>
      <c r="B1430" s="33" t="s">
        <v>688</v>
      </c>
      <c r="C1430" s="33" t="s">
        <v>133</v>
      </c>
      <c r="D1430" s="29">
        <v>3.0</v>
      </c>
      <c r="E1430" s="39">
        <v>3150.0</v>
      </c>
      <c r="F1430" s="25" t="s">
        <v>10</v>
      </c>
      <c r="G1430" s="38">
        <v>45874.0</v>
      </c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 ht="14.25" customHeight="1">
      <c r="A1431" s="40">
        <v>45832.0</v>
      </c>
      <c r="B1431" s="33" t="s">
        <v>722</v>
      </c>
      <c r="C1431" s="33" t="s">
        <v>325</v>
      </c>
      <c r="D1431" s="29">
        <v>1.0</v>
      </c>
      <c r="E1431" s="30">
        <v>1170.0</v>
      </c>
      <c r="F1431" s="25" t="s">
        <v>10</v>
      </c>
      <c r="G1431" s="26">
        <v>45973.0</v>
      </c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 ht="14.25" customHeight="1">
      <c r="A1432" s="40">
        <v>45832.0</v>
      </c>
      <c r="B1432" s="33" t="s">
        <v>908</v>
      </c>
      <c r="C1432" s="33" t="s">
        <v>156</v>
      </c>
      <c r="D1432" s="29">
        <v>2.0</v>
      </c>
      <c r="E1432" s="30">
        <v>2793.0</v>
      </c>
      <c r="F1432" s="25" t="s">
        <v>10</v>
      </c>
      <c r="G1432" s="38">
        <v>45832.0</v>
      </c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 ht="14.25" customHeight="1">
      <c r="A1433" s="40">
        <v>45832.0</v>
      </c>
      <c r="B1433" s="33" t="s">
        <v>909</v>
      </c>
      <c r="C1433" s="33" t="s">
        <v>910</v>
      </c>
      <c r="D1433" s="29">
        <v>4.0</v>
      </c>
      <c r="E1433" s="30">
        <v>6700.0</v>
      </c>
      <c r="F1433" s="25" t="s">
        <v>10</v>
      </c>
      <c r="G1433" s="38">
        <v>45834.0</v>
      </c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 ht="14.25" customHeight="1">
      <c r="A1434" s="40">
        <v>45832.0</v>
      </c>
      <c r="B1434" s="33" t="s">
        <v>911</v>
      </c>
      <c r="C1434" s="33" t="s">
        <v>143</v>
      </c>
      <c r="D1434" s="29">
        <v>4.0</v>
      </c>
      <c r="E1434" s="39">
        <v>7400.0</v>
      </c>
      <c r="F1434" s="25" t="s">
        <v>10</v>
      </c>
      <c r="G1434" s="38">
        <v>45911.0</v>
      </c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 ht="14.25" customHeight="1">
      <c r="A1435" s="40">
        <v>45832.0</v>
      </c>
      <c r="B1435" s="33" t="s">
        <v>912</v>
      </c>
      <c r="C1435" s="33" t="s">
        <v>133</v>
      </c>
      <c r="D1435" s="29">
        <v>2.0</v>
      </c>
      <c r="E1435" s="39">
        <v>1180.0</v>
      </c>
      <c r="F1435" s="25" t="s">
        <v>10</v>
      </c>
      <c r="G1435" s="38">
        <v>45874.0</v>
      </c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 ht="14.25" customHeight="1">
      <c r="A1436" s="40">
        <v>45832.0</v>
      </c>
      <c r="B1436" s="33" t="s">
        <v>39</v>
      </c>
      <c r="C1436" s="33" t="s">
        <v>913</v>
      </c>
      <c r="D1436" s="29">
        <v>2.0</v>
      </c>
      <c r="E1436" s="30">
        <v>2140.0</v>
      </c>
      <c r="F1436" s="25" t="s">
        <v>10</v>
      </c>
      <c r="G1436" s="38">
        <v>45833.0</v>
      </c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 ht="14.25" customHeight="1">
      <c r="A1437" s="40">
        <v>45833.0</v>
      </c>
      <c r="B1437" s="33" t="s">
        <v>310</v>
      </c>
      <c r="C1437" s="33" t="s">
        <v>138</v>
      </c>
      <c r="D1437" s="29">
        <v>1.0</v>
      </c>
      <c r="E1437" s="30">
        <v>790.0</v>
      </c>
      <c r="F1437" s="25" t="s">
        <v>10</v>
      </c>
      <c r="G1437" s="38">
        <v>45833.0</v>
      </c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 ht="14.25" customHeight="1">
      <c r="A1438" s="40">
        <v>45833.0</v>
      </c>
      <c r="B1438" s="33" t="s">
        <v>914</v>
      </c>
      <c r="C1438" s="33" t="s">
        <v>143</v>
      </c>
      <c r="D1438" s="29">
        <v>4.0</v>
      </c>
      <c r="E1438" s="39">
        <v>5800.0</v>
      </c>
      <c r="F1438" s="25" t="s">
        <v>10</v>
      </c>
      <c r="G1438" s="38">
        <v>45911.0</v>
      </c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 ht="14.25" customHeight="1">
      <c r="A1439" s="40">
        <v>45834.0</v>
      </c>
      <c r="B1439" s="33" t="s">
        <v>258</v>
      </c>
      <c r="C1439" s="33" t="s">
        <v>9</v>
      </c>
      <c r="D1439" s="29">
        <v>4.0</v>
      </c>
      <c r="E1439" s="30">
        <v>1840.0</v>
      </c>
      <c r="F1439" s="25" t="s">
        <v>10</v>
      </c>
      <c r="G1439" s="38">
        <v>45834.0</v>
      </c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 ht="14.25" customHeight="1">
      <c r="A1440" s="40">
        <v>45834.0</v>
      </c>
      <c r="B1440" s="33" t="s">
        <v>470</v>
      </c>
      <c r="C1440" s="33" t="s">
        <v>138</v>
      </c>
      <c r="D1440" s="29">
        <v>4.0</v>
      </c>
      <c r="E1440" s="30">
        <v>2200.0</v>
      </c>
      <c r="F1440" s="25" t="s">
        <v>10</v>
      </c>
      <c r="G1440" s="38">
        <v>45834.0</v>
      </c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 ht="14.25" customHeight="1">
      <c r="A1441" s="40">
        <v>45834.0</v>
      </c>
      <c r="B1441" s="33" t="s">
        <v>915</v>
      </c>
      <c r="C1441" s="33" t="s">
        <v>325</v>
      </c>
      <c r="D1441" s="29">
        <v>2.0</v>
      </c>
      <c r="E1441" s="30">
        <v>3100.0</v>
      </c>
      <c r="F1441" s="25" t="s">
        <v>10</v>
      </c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 ht="14.25" customHeight="1">
      <c r="A1442" s="40">
        <v>45834.0</v>
      </c>
      <c r="B1442" s="33" t="s">
        <v>214</v>
      </c>
      <c r="C1442" s="33" t="s">
        <v>9</v>
      </c>
      <c r="D1442" s="29">
        <v>1.0</v>
      </c>
      <c r="E1442" s="30">
        <v>1350.0</v>
      </c>
      <c r="F1442" s="25" t="s">
        <v>10</v>
      </c>
      <c r="G1442" s="38">
        <v>45834.0</v>
      </c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 ht="14.25" customHeight="1">
      <c r="A1443" s="40">
        <v>45835.0</v>
      </c>
      <c r="B1443" s="33" t="s">
        <v>916</v>
      </c>
      <c r="C1443" s="33" t="s">
        <v>126</v>
      </c>
      <c r="D1443" s="29">
        <v>4.0</v>
      </c>
      <c r="E1443" s="30">
        <f>2750*D1443</f>
        <v>11000</v>
      </c>
      <c r="F1443" s="25" t="s">
        <v>10</v>
      </c>
      <c r="G1443" s="26">
        <v>45952.0</v>
      </c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 ht="14.25" customHeight="1">
      <c r="A1444" s="40">
        <v>45835.0</v>
      </c>
      <c r="B1444" s="33" t="s">
        <v>27</v>
      </c>
      <c r="C1444" s="33" t="s">
        <v>133</v>
      </c>
      <c r="D1444" s="29">
        <v>2.0</v>
      </c>
      <c r="E1444" s="39">
        <f>1450*D1444</f>
        <v>2900</v>
      </c>
      <c r="F1444" s="25" t="s">
        <v>10</v>
      </c>
      <c r="G1444" s="38">
        <v>45901.0</v>
      </c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 ht="14.25" customHeight="1">
      <c r="A1445" s="40">
        <v>45836.0</v>
      </c>
      <c r="B1445" s="33" t="s">
        <v>917</v>
      </c>
      <c r="C1445" s="33" t="s">
        <v>156</v>
      </c>
      <c r="D1445" s="29">
        <v>2.0</v>
      </c>
      <c r="E1445" s="30">
        <v>1045.0</v>
      </c>
      <c r="F1445" s="25" t="s">
        <v>10</v>
      </c>
      <c r="G1445" s="38">
        <v>45836.0</v>
      </c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 ht="14.25" customHeight="1">
      <c r="A1446" s="40">
        <v>45836.0</v>
      </c>
      <c r="B1446" s="33" t="s">
        <v>586</v>
      </c>
      <c r="C1446" s="33" t="s">
        <v>156</v>
      </c>
      <c r="D1446" s="29">
        <v>4.0</v>
      </c>
      <c r="E1446" s="30">
        <v>2060.0</v>
      </c>
      <c r="F1446" s="25" t="s">
        <v>10</v>
      </c>
      <c r="G1446" s="38">
        <v>45836.0</v>
      </c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 ht="14.25" customHeight="1">
      <c r="A1447" s="40">
        <v>45838.0</v>
      </c>
      <c r="B1447" s="33" t="s">
        <v>918</v>
      </c>
      <c r="C1447" s="33" t="s">
        <v>154</v>
      </c>
      <c r="D1447" s="29">
        <v>2.0</v>
      </c>
      <c r="E1447" s="30">
        <v>2790.0</v>
      </c>
      <c r="F1447" s="25" t="s">
        <v>10</v>
      </c>
      <c r="G1447" s="38">
        <v>45838.0</v>
      </c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 ht="14.25" customHeight="1">
      <c r="A1448" s="40">
        <v>45838.0</v>
      </c>
      <c r="B1448" s="33" t="s">
        <v>461</v>
      </c>
      <c r="C1448" s="33" t="s">
        <v>143</v>
      </c>
      <c r="D1448" s="29">
        <v>2.0</v>
      </c>
      <c r="E1448" s="39">
        <v>2400.0</v>
      </c>
      <c r="F1448" s="25" t="s">
        <v>10</v>
      </c>
      <c r="G1448" s="38">
        <v>45911.0</v>
      </c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 ht="14.25" customHeight="1">
      <c r="A1449" s="40">
        <v>45838.0</v>
      </c>
      <c r="B1449" s="33" t="s">
        <v>194</v>
      </c>
      <c r="C1449" s="33" t="s">
        <v>143</v>
      </c>
      <c r="D1449" s="29">
        <v>4.0</v>
      </c>
      <c r="E1449" s="39">
        <v>5520.0</v>
      </c>
      <c r="F1449" s="25" t="s">
        <v>10</v>
      </c>
      <c r="G1449" s="38">
        <v>45911.0</v>
      </c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 ht="14.25" customHeight="1">
      <c r="A1450" s="40">
        <v>45838.0</v>
      </c>
      <c r="B1450" s="33" t="s">
        <v>64</v>
      </c>
      <c r="C1450" s="33" t="s">
        <v>138</v>
      </c>
      <c r="D1450" s="29">
        <v>1.0</v>
      </c>
      <c r="E1450" s="30">
        <v>615.0</v>
      </c>
      <c r="F1450" s="25" t="s">
        <v>10</v>
      </c>
      <c r="G1450" s="38">
        <v>45838.0</v>
      </c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 ht="14.25" customHeight="1">
      <c r="A1451" s="40">
        <v>45838.0</v>
      </c>
      <c r="B1451" s="33" t="s">
        <v>16</v>
      </c>
      <c r="C1451" s="33" t="s">
        <v>126</v>
      </c>
      <c r="D1451" s="29">
        <v>1.0</v>
      </c>
      <c r="E1451" s="30">
        <v>1070.0</v>
      </c>
      <c r="F1451" s="25" t="s">
        <v>10</v>
      </c>
      <c r="G1451" s="26">
        <v>45952.0</v>
      </c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 ht="14.25" customHeight="1">
      <c r="A1452" s="40">
        <v>45838.0</v>
      </c>
      <c r="B1452" s="33" t="s">
        <v>160</v>
      </c>
      <c r="C1452" s="33" t="s">
        <v>126</v>
      </c>
      <c r="D1452" s="29">
        <v>1.0</v>
      </c>
      <c r="E1452" s="30">
        <v>1280.0</v>
      </c>
      <c r="F1452" s="25" t="s">
        <v>10</v>
      </c>
      <c r="G1452" s="26">
        <v>45952.0</v>
      </c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 ht="14.25" customHeight="1">
      <c r="A1453" s="40">
        <v>45838.0</v>
      </c>
      <c r="B1453" s="33" t="s">
        <v>773</v>
      </c>
      <c r="C1453" s="33" t="s">
        <v>133</v>
      </c>
      <c r="D1453" s="29">
        <v>4.0</v>
      </c>
      <c r="E1453" s="39">
        <v>2000.0</v>
      </c>
      <c r="F1453" s="25" t="s">
        <v>10</v>
      </c>
      <c r="G1453" s="38">
        <v>45901.0</v>
      </c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 ht="14.25" customHeight="1">
      <c r="A1454" s="40">
        <v>45838.0</v>
      </c>
      <c r="B1454" s="33" t="s">
        <v>919</v>
      </c>
      <c r="C1454" s="33" t="s">
        <v>133</v>
      </c>
      <c r="D1454" s="29">
        <v>1.0</v>
      </c>
      <c r="E1454" s="30">
        <v>1200.0</v>
      </c>
      <c r="F1454" s="25" t="s">
        <v>10</v>
      </c>
      <c r="G1454" s="38">
        <v>45875.0</v>
      </c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 ht="14.25" customHeight="1">
      <c r="A1455" s="40">
        <v>45839.0</v>
      </c>
      <c r="B1455" s="33" t="s">
        <v>813</v>
      </c>
      <c r="C1455" s="33" t="s">
        <v>138</v>
      </c>
      <c r="D1455" s="29">
        <v>4.0</v>
      </c>
      <c r="E1455" s="30">
        <v>4600.0</v>
      </c>
      <c r="F1455" s="25" t="s">
        <v>10</v>
      </c>
      <c r="G1455" s="38">
        <v>45839.0</v>
      </c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 ht="14.25" customHeight="1">
      <c r="A1456" s="40">
        <v>45839.0</v>
      </c>
      <c r="B1456" s="33" t="s">
        <v>514</v>
      </c>
      <c r="C1456" s="33" t="s">
        <v>9</v>
      </c>
      <c r="D1456" s="29">
        <v>2.0</v>
      </c>
      <c r="E1456" s="30">
        <v>1960.0</v>
      </c>
      <c r="F1456" s="25" t="s">
        <v>10</v>
      </c>
      <c r="G1456" s="38">
        <v>45839.0</v>
      </c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 ht="14.25" customHeight="1">
      <c r="A1457" s="40">
        <v>45839.0</v>
      </c>
      <c r="B1457" s="33" t="s">
        <v>920</v>
      </c>
      <c r="C1457" s="33" t="s">
        <v>126</v>
      </c>
      <c r="D1457" s="29">
        <v>1.0</v>
      </c>
      <c r="E1457" s="41">
        <v>1800.0</v>
      </c>
      <c r="F1457" s="25" t="s">
        <v>10</v>
      </c>
      <c r="G1457" s="26">
        <v>45989.0</v>
      </c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 ht="14.25" customHeight="1">
      <c r="A1458" s="40">
        <v>45839.0</v>
      </c>
      <c r="B1458" s="33" t="s">
        <v>921</v>
      </c>
      <c r="C1458" s="33" t="s">
        <v>138</v>
      </c>
      <c r="D1458" s="29">
        <v>2.0</v>
      </c>
      <c r="E1458" s="30">
        <v>2150.0</v>
      </c>
      <c r="F1458" s="25" t="s">
        <v>10</v>
      </c>
      <c r="G1458" s="38">
        <v>45839.0</v>
      </c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 ht="14.25" customHeight="1">
      <c r="A1459" s="40">
        <v>45839.0</v>
      </c>
      <c r="B1459" s="33" t="s">
        <v>389</v>
      </c>
      <c r="C1459" s="33" t="s">
        <v>138</v>
      </c>
      <c r="D1459" s="29">
        <v>2.0</v>
      </c>
      <c r="E1459" s="30">
        <v>2160.0</v>
      </c>
      <c r="F1459" s="25" t="s">
        <v>10</v>
      </c>
      <c r="G1459" s="38">
        <v>45839.0</v>
      </c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 ht="14.25" customHeight="1">
      <c r="A1460" s="40">
        <v>45840.0</v>
      </c>
      <c r="B1460" s="33" t="s">
        <v>922</v>
      </c>
      <c r="C1460" s="33" t="s">
        <v>9</v>
      </c>
      <c r="D1460" s="29">
        <v>1.0</v>
      </c>
      <c r="E1460" s="30">
        <v>880.0</v>
      </c>
      <c r="F1460" s="25" t="s">
        <v>10</v>
      </c>
      <c r="G1460" s="38">
        <v>45843.0</v>
      </c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 ht="14.25" customHeight="1">
      <c r="A1461" s="40">
        <v>45840.0</v>
      </c>
      <c r="B1461" s="33" t="s">
        <v>470</v>
      </c>
      <c r="C1461" s="33" t="s">
        <v>143</v>
      </c>
      <c r="D1461" s="29">
        <v>8.0</v>
      </c>
      <c r="E1461" s="30">
        <v>4480.0</v>
      </c>
      <c r="F1461" s="25" t="s">
        <v>10</v>
      </c>
      <c r="G1461" s="38">
        <v>45936.0</v>
      </c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 ht="14.25" customHeight="1">
      <c r="A1462" s="40">
        <v>45840.0</v>
      </c>
      <c r="B1462" s="33" t="s">
        <v>64</v>
      </c>
      <c r="C1462" s="33" t="s">
        <v>138</v>
      </c>
      <c r="D1462" s="29">
        <v>5.0</v>
      </c>
      <c r="E1462" s="30">
        <v>3075.0</v>
      </c>
      <c r="F1462" s="25" t="s">
        <v>10</v>
      </c>
      <c r="G1462" s="38">
        <v>45840.0</v>
      </c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 ht="14.25" customHeight="1">
      <c r="A1463" s="40">
        <v>45840.0</v>
      </c>
      <c r="B1463" s="33" t="s">
        <v>354</v>
      </c>
      <c r="C1463" s="33" t="s">
        <v>143</v>
      </c>
      <c r="D1463" s="29">
        <v>4.0</v>
      </c>
      <c r="E1463" s="30">
        <v>3480.0</v>
      </c>
      <c r="F1463" s="25" t="s">
        <v>10</v>
      </c>
      <c r="G1463" s="38">
        <v>45936.0</v>
      </c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 ht="14.25" customHeight="1">
      <c r="A1464" s="40">
        <v>45840.0</v>
      </c>
      <c r="B1464" s="33" t="s">
        <v>464</v>
      </c>
      <c r="C1464" s="33" t="s">
        <v>126</v>
      </c>
      <c r="D1464" s="29">
        <v>1.0</v>
      </c>
      <c r="E1464" s="41">
        <v>950.0</v>
      </c>
      <c r="F1464" s="25" t="s">
        <v>10</v>
      </c>
      <c r="G1464" s="38">
        <v>45989.0</v>
      </c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 ht="14.25" customHeight="1">
      <c r="A1465" s="40">
        <v>45840.0</v>
      </c>
      <c r="B1465" s="33" t="s">
        <v>920</v>
      </c>
      <c r="C1465" s="33" t="s">
        <v>126</v>
      </c>
      <c r="D1465" s="29">
        <v>1.0</v>
      </c>
      <c r="E1465" s="41">
        <v>1800.0</v>
      </c>
      <c r="F1465" s="25" t="s">
        <v>10</v>
      </c>
      <c r="G1465" s="38">
        <v>45989.0</v>
      </c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 ht="14.25" customHeight="1">
      <c r="A1466" s="40">
        <v>45841.0</v>
      </c>
      <c r="B1466" s="33" t="s">
        <v>24</v>
      </c>
      <c r="C1466" s="33" t="s">
        <v>138</v>
      </c>
      <c r="D1466" s="29">
        <v>2.0</v>
      </c>
      <c r="E1466" s="30">
        <v>2250.0</v>
      </c>
      <c r="F1466" s="25" t="s">
        <v>10</v>
      </c>
      <c r="G1466" s="38">
        <v>45841.0</v>
      </c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 ht="14.25" customHeight="1">
      <c r="A1467" s="40">
        <v>45841.0</v>
      </c>
      <c r="B1467" s="33" t="s">
        <v>12</v>
      </c>
      <c r="C1467" s="33" t="s">
        <v>138</v>
      </c>
      <c r="D1467" s="29">
        <v>2.0</v>
      </c>
      <c r="E1467" s="30">
        <v>3100.0</v>
      </c>
      <c r="F1467" s="25" t="s">
        <v>10</v>
      </c>
      <c r="G1467" s="38">
        <v>45841.0</v>
      </c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 ht="14.25" customHeight="1">
      <c r="A1468" s="40">
        <v>45841.0</v>
      </c>
      <c r="B1468" s="33" t="s">
        <v>923</v>
      </c>
      <c r="C1468" s="33" t="s">
        <v>154</v>
      </c>
      <c r="D1468" s="29">
        <v>1.0</v>
      </c>
      <c r="E1468" s="30">
        <v>1576.0</v>
      </c>
      <c r="F1468" s="25" t="s">
        <v>10</v>
      </c>
      <c r="G1468" s="38">
        <v>45841.0</v>
      </c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 ht="14.25" customHeight="1">
      <c r="A1469" s="40">
        <v>45842.0</v>
      </c>
      <c r="B1469" s="33" t="s">
        <v>37</v>
      </c>
      <c r="C1469" s="33" t="s">
        <v>133</v>
      </c>
      <c r="D1469" s="29">
        <v>2.0</v>
      </c>
      <c r="E1469" s="39">
        <v>1300.0</v>
      </c>
      <c r="F1469" s="25" t="s">
        <v>10</v>
      </c>
      <c r="G1469" s="38">
        <v>45901.0</v>
      </c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 ht="14.25" customHeight="1">
      <c r="A1470" s="40">
        <v>45842.0</v>
      </c>
      <c r="B1470" s="33" t="s">
        <v>297</v>
      </c>
      <c r="C1470" s="33" t="s">
        <v>138</v>
      </c>
      <c r="D1470" s="29">
        <v>2.0</v>
      </c>
      <c r="E1470" s="30">
        <v>1500.0</v>
      </c>
      <c r="F1470" s="25" t="s">
        <v>10</v>
      </c>
      <c r="G1470" s="38">
        <v>45842.0</v>
      </c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 ht="14.25" customHeight="1">
      <c r="A1471" s="40">
        <v>45842.0</v>
      </c>
      <c r="B1471" s="33" t="s">
        <v>273</v>
      </c>
      <c r="C1471" s="33" t="s">
        <v>128</v>
      </c>
      <c r="D1471" s="29">
        <v>2.0</v>
      </c>
      <c r="E1471" s="30">
        <v>1676.0</v>
      </c>
      <c r="F1471" s="25" t="s">
        <v>10</v>
      </c>
      <c r="G1471" s="38">
        <v>45842.0</v>
      </c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 ht="14.25" customHeight="1">
      <c r="A1472" s="40">
        <v>45842.0</v>
      </c>
      <c r="B1472" s="33" t="s">
        <v>258</v>
      </c>
      <c r="C1472" s="33" t="s">
        <v>9</v>
      </c>
      <c r="D1472" s="29">
        <v>4.0</v>
      </c>
      <c r="E1472" s="30">
        <v>1840.0</v>
      </c>
      <c r="F1472" s="25" t="s">
        <v>10</v>
      </c>
      <c r="G1472" s="38">
        <v>45842.0</v>
      </c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 ht="14.25" customHeight="1">
      <c r="A1473" s="40">
        <v>45842.0</v>
      </c>
      <c r="B1473" s="33" t="s">
        <v>924</v>
      </c>
      <c r="C1473" s="33" t="s">
        <v>9</v>
      </c>
      <c r="D1473" s="29">
        <v>1.0</v>
      </c>
      <c r="E1473" s="30">
        <v>980.0</v>
      </c>
      <c r="F1473" s="25" t="s">
        <v>10</v>
      </c>
      <c r="G1473" s="38">
        <v>45843.0</v>
      </c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 ht="14.25" customHeight="1">
      <c r="A1474" s="40">
        <v>45845.0</v>
      </c>
      <c r="B1474" s="33" t="s">
        <v>158</v>
      </c>
      <c r="C1474" s="33" t="s">
        <v>138</v>
      </c>
      <c r="D1474" s="29">
        <v>4.0</v>
      </c>
      <c r="E1474" s="30">
        <v>4900.0</v>
      </c>
      <c r="F1474" s="25" t="s">
        <v>10</v>
      </c>
      <c r="G1474" s="38">
        <v>45845.0</v>
      </c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 ht="14.25" customHeight="1">
      <c r="A1475" s="40">
        <v>45845.0</v>
      </c>
      <c r="B1475" s="33" t="s">
        <v>794</v>
      </c>
      <c r="C1475" s="33" t="s">
        <v>9</v>
      </c>
      <c r="D1475" s="29">
        <v>3.0</v>
      </c>
      <c r="E1475" s="30">
        <v>1860.0</v>
      </c>
      <c r="F1475" s="25" t="s">
        <v>10</v>
      </c>
      <c r="G1475" s="38">
        <v>45845.0</v>
      </c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 ht="14.25" customHeight="1">
      <c r="A1476" s="40">
        <v>45845.0</v>
      </c>
      <c r="B1476" s="33" t="s">
        <v>925</v>
      </c>
      <c r="C1476" s="33" t="s">
        <v>133</v>
      </c>
      <c r="D1476" s="29">
        <v>2.0</v>
      </c>
      <c r="E1476" s="39">
        <v>3700.0</v>
      </c>
      <c r="F1476" s="25" t="s">
        <v>10</v>
      </c>
      <c r="G1476" s="38">
        <v>45901.0</v>
      </c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 ht="14.25" customHeight="1">
      <c r="A1477" s="40">
        <v>45846.0</v>
      </c>
      <c r="B1477" s="33" t="s">
        <v>813</v>
      </c>
      <c r="C1477" s="33" t="s">
        <v>138</v>
      </c>
      <c r="D1477" s="29">
        <v>4.0</v>
      </c>
      <c r="E1477" s="30">
        <v>4600.0</v>
      </c>
      <c r="F1477" s="25" t="s">
        <v>10</v>
      </c>
      <c r="G1477" s="38">
        <v>45846.0</v>
      </c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 ht="14.25" customHeight="1">
      <c r="A1478" s="40">
        <v>45846.0</v>
      </c>
      <c r="B1478" s="33" t="s">
        <v>30</v>
      </c>
      <c r="C1478" s="33" t="s">
        <v>9</v>
      </c>
      <c r="D1478" s="29">
        <v>2.0</v>
      </c>
      <c r="E1478" s="30">
        <v>1900.0</v>
      </c>
      <c r="F1478" s="25" t="s">
        <v>10</v>
      </c>
      <c r="G1478" s="38">
        <v>45847.0</v>
      </c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 ht="14.25" customHeight="1">
      <c r="A1479" s="40">
        <v>45846.0</v>
      </c>
      <c r="B1479" s="33" t="s">
        <v>926</v>
      </c>
      <c r="C1479" s="33" t="s">
        <v>138</v>
      </c>
      <c r="D1479" s="29">
        <v>2.0</v>
      </c>
      <c r="E1479" s="30">
        <v>3200.0</v>
      </c>
      <c r="F1479" s="25" t="s">
        <v>10</v>
      </c>
      <c r="G1479" s="38">
        <v>45846.0</v>
      </c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 ht="14.25" customHeight="1">
      <c r="A1480" s="40">
        <v>45846.0</v>
      </c>
      <c r="B1480" s="33" t="s">
        <v>37</v>
      </c>
      <c r="C1480" s="33" t="s">
        <v>133</v>
      </c>
      <c r="D1480" s="29">
        <v>2.0</v>
      </c>
      <c r="E1480" s="39">
        <v>1300.0</v>
      </c>
      <c r="F1480" s="25" t="s">
        <v>10</v>
      </c>
      <c r="G1480" s="38">
        <v>45901.0</v>
      </c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 ht="14.25" customHeight="1">
      <c r="A1481" s="40">
        <v>45847.0</v>
      </c>
      <c r="B1481" s="33" t="s">
        <v>927</v>
      </c>
      <c r="C1481" s="33" t="s">
        <v>133</v>
      </c>
      <c r="D1481" s="29">
        <v>4.0</v>
      </c>
      <c r="E1481" s="39">
        <v>3000.0</v>
      </c>
      <c r="F1481" s="25" t="s">
        <v>10</v>
      </c>
      <c r="G1481" s="38">
        <v>45901.0</v>
      </c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 ht="14.25" customHeight="1">
      <c r="A1482" s="40">
        <v>45847.0</v>
      </c>
      <c r="B1482" s="33" t="s">
        <v>37</v>
      </c>
      <c r="C1482" s="33" t="s">
        <v>133</v>
      </c>
      <c r="D1482" s="29">
        <v>2.0</v>
      </c>
      <c r="E1482" s="39">
        <v>1300.0</v>
      </c>
      <c r="F1482" s="25" t="s">
        <v>10</v>
      </c>
      <c r="G1482" s="38">
        <v>45901.0</v>
      </c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 ht="14.25" customHeight="1">
      <c r="A1483" s="40">
        <v>45847.0</v>
      </c>
      <c r="B1483" s="33" t="s">
        <v>787</v>
      </c>
      <c r="C1483" s="33" t="s">
        <v>143</v>
      </c>
      <c r="D1483" s="29">
        <v>2.0</v>
      </c>
      <c r="E1483" s="30">
        <v>2800.0</v>
      </c>
      <c r="F1483" s="25" t="s">
        <v>10</v>
      </c>
      <c r="G1483" s="38">
        <v>45936.0</v>
      </c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 ht="14.25" customHeight="1">
      <c r="A1484" s="40">
        <v>45847.0</v>
      </c>
      <c r="B1484" s="33" t="s">
        <v>30</v>
      </c>
      <c r="C1484" s="33" t="s">
        <v>9</v>
      </c>
      <c r="D1484" s="29">
        <v>4.0</v>
      </c>
      <c r="E1484" s="30">
        <v>3800.0</v>
      </c>
      <c r="F1484" s="25" t="s">
        <v>10</v>
      </c>
      <c r="G1484" s="38">
        <v>45847.0</v>
      </c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 ht="14.25" customHeight="1">
      <c r="A1485" s="40">
        <v>45847.0</v>
      </c>
      <c r="B1485" s="33" t="s">
        <v>805</v>
      </c>
      <c r="C1485" s="33" t="s">
        <v>128</v>
      </c>
      <c r="D1485" s="29">
        <v>8.0</v>
      </c>
      <c r="E1485" s="30">
        <v>3967.0</v>
      </c>
      <c r="F1485" s="25" t="s">
        <v>10</v>
      </c>
      <c r="G1485" s="38">
        <v>45847.0</v>
      </c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 ht="14.25" customHeight="1">
      <c r="A1486" s="40">
        <v>45848.0</v>
      </c>
      <c r="B1486" s="33" t="s">
        <v>87</v>
      </c>
      <c r="C1486" s="33" t="s">
        <v>9</v>
      </c>
      <c r="D1486" s="29">
        <v>2.0</v>
      </c>
      <c r="E1486" s="30">
        <v>1080.0</v>
      </c>
      <c r="F1486" s="25" t="s">
        <v>10</v>
      </c>
      <c r="G1486" s="38">
        <v>45848.0</v>
      </c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 ht="14.25" customHeight="1">
      <c r="A1487" s="40">
        <v>45848.0</v>
      </c>
      <c r="B1487" s="33" t="s">
        <v>928</v>
      </c>
      <c r="C1487" s="33" t="s">
        <v>9</v>
      </c>
      <c r="D1487" s="29">
        <v>4.0</v>
      </c>
      <c r="E1487" s="30">
        <v>7600.0</v>
      </c>
      <c r="F1487" s="25" t="s">
        <v>10</v>
      </c>
      <c r="G1487" s="38">
        <v>45848.0</v>
      </c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 ht="14.25" customHeight="1">
      <c r="A1488" s="40">
        <v>45843.0</v>
      </c>
      <c r="B1488" s="33" t="s">
        <v>117</v>
      </c>
      <c r="C1488" s="33" t="s">
        <v>113</v>
      </c>
      <c r="D1488" s="29">
        <v>4.0</v>
      </c>
      <c r="E1488" s="30">
        <v>2040.0</v>
      </c>
      <c r="F1488" s="25" t="s">
        <v>10</v>
      </c>
      <c r="G1488" s="38">
        <v>45848.0</v>
      </c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 ht="14.25" customHeight="1">
      <c r="A1489" s="40">
        <v>45848.0</v>
      </c>
      <c r="B1489" s="33" t="s">
        <v>470</v>
      </c>
      <c r="C1489" s="33" t="s">
        <v>113</v>
      </c>
      <c r="D1489" s="29">
        <v>8.0</v>
      </c>
      <c r="E1489" s="30">
        <v>4160.0</v>
      </c>
      <c r="F1489" s="25" t="s">
        <v>10</v>
      </c>
      <c r="G1489" s="38">
        <v>45848.0</v>
      </c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 ht="14.25" customHeight="1">
      <c r="A1490" s="40">
        <v>45848.0</v>
      </c>
      <c r="B1490" s="33" t="s">
        <v>500</v>
      </c>
      <c r="C1490" s="33" t="s">
        <v>113</v>
      </c>
      <c r="D1490" s="29">
        <v>4.0</v>
      </c>
      <c r="E1490" s="30">
        <v>2600.0</v>
      </c>
      <c r="F1490" s="25" t="s">
        <v>10</v>
      </c>
      <c r="G1490" s="38">
        <v>45848.0</v>
      </c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 ht="14.25" customHeight="1">
      <c r="A1491" s="40">
        <v>45849.0</v>
      </c>
      <c r="B1491" s="33" t="s">
        <v>227</v>
      </c>
      <c r="C1491" s="33" t="s">
        <v>138</v>
      </c>
      <c r="D1491" s="29">
        <v>2.0</v>
      </c>
      <c r="E1491" s="30">
        <v>1500.0</v>
      </c>
      <c r="F1491" s="25" t="s">
        <v>10</v>
      </c>
      <c r="G1491" s="38">
        <v>45849.0</v>
      </c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 ht="14.25" customHeight="1">
      <c r="A1492" s="40">
        <v>45849.0</v>
      </c>
      <c r="B1492" s="33" t="s">
        <v>643</v>
      </c>
      <c r="C1492" s="33" t="s">
        <v>83</v>
      </c>
      <c r="D1492" s="29">
        <v>1.0</v>
      </c>
      <c r="E1492" s="30">
        <v>2650.0</v>
      </c>
      <c r="F1492" s="25" t="s">
        <v>10</v>
      </c>
      <c r="G1492" s="38">
        <v>45849.0</v>
      </c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 ht="14.25" customHeight="1">
      <c r="A1493" s="40">
        <v>45849.0</v>
      </c>
      <c r="B1493" s="33" t="s">
        <v>909</v>
      </c>
      <c r="C1493" s="33" t="s">
        <v>910</v>
      </c>
      <c r="D1493" s="29">
        <v>1.0</v>
      </c>
      <c r="E1493" s="30">
        <v>1675.0</v>
      </c>
      <c r="F1493" s="25" t="s">
        <v>10</v>
      </c>
      <c r="G1493" s="38">
        <v>45855.0</v>
      </c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 ht="14.25" customHeight="1">
      <c r="A1494" s="40">
        <v>45849.0</v>
      </c>
      <c r="B1494" s="33" t="s">
        <v>214</v>
      </c>
      <c r="C1494" s="33" t="s">
        <v>9</v>
      </c>
      <c r="D1494" s="29">
        <v>2.0</v>
      </c>
      <c r="E1494" s="30">
        <v>2700.0</v>
      </c>
      <c r="F1494" s="25" t="s">
        <v>10</v>
      </c>
      <c r="G1494" s="38">
        <v>45849.0</v>
      </c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 ht="14.25" customHeight="1">
      <c r="A1495" s="40">
        <v>45850.0</v>
      </c>
      <c r="B1495" s="33" t="s">
        <v>241</v>
      </c>
      <c r="C1495" s="33" t="s">
        <v>9</v>
      </c>
      <c r="D1495" s="29">
        <v>2.0</v>
      </c>
      <c r="E1495" s="30">
        <v>1200.0</v>
      </c>
      <c r="F1495" s="25" t="s">
        <v>10</v>
      </c>
      <c r="G1495" s="38">
        <v>45850.0</v>
      </c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 ht="14.25" customHeight="1">
      <c r="A1496" s="40">
        <v>45850.0</v>
      </c>
      <c r="B1496" s="33" t="s">
        <v>54</v>
      </c>
      <c r="C1496" s="33" t="s">
        <v>9</v>
      </c>
      <c r="D1496" s="29">
        <v>2.0</v>
      </c>
      <c r="E1496" s="30">
        <v>2400.0</v>
      </c>
      <c r="F1496" s="25" t="s">
        <v>10</v>
      </c>
      <c r="G1496" s="38">
        <v>45850.0</v>
      </c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 ht="14.25" customHeight="1">
      <c r="A1497" s="40">
        <v>45850.0</v>
      </c>
      <c r="B1497" s="33" t="s">
        <v>197</v>
      </c>
      <c r="C1497" s="33" t="s">
        <v>9</v>
      </c>
      <c r="D1497" s="29">
        <v>2.0</v>
      </c>
      <c r="E1497" s="30">
        <v>2300.0</v>
      </c>
      <c r="F1497" s="25" t="s">
        <v>10</v>
      </c>
      <c r="G1497" s="38">
        <v>45850.0</v>
      </c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 ht="14.25" customHeight="1">
      <c r="A1498" s="40">
        <v>45850.0</v>
      </c>
      <c r="B1498" s="33" t="s">
        <v>929</v>
      </c>
      <c r="C1498" s="33" t="s">
        <v>9</v>
      </c>
      <c r="D1498" s="29">
        <v>1.0</v>
      </c>
      <c r="E1498" s="30">
        <v>1050.0</v>
      </c>
      <c r="F1498" s="25" t="s">
        <v>222</v>
      </c>
      <c r="G1498" s="38">
        <v>45852.0</v>
      </c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 ht="14.25" customHeight="1">
      <c r="A1499" s="40">
        <v>45850.0</v>
      </c>
      <c r="B1499" s="33" t="s">
        <v>930</v>
      </c>
      <c r="C1499" s="33" t="s">
        <v>9</v>
      </c>
      <c r="D1499" s="29">
        <v>1.0</v>
      </c>
      <c r="E1499" s="30">
        <v>2800.0</v>
      </c>
      <c r="F1499" s="25" t="s">
        <v>10</v>
      </c>
      <c r="G1499" s="38">
        <v>45850.0</v>
      </c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 ht="14.25" customHeight="1">
      <c r="A1500" s="40">
        <v>45850.0</v>
      </c>
      <c r="B1500" s="33" t="s">
        <v>931</v>
      </c>
      <c r="C1500" s="33" t="s">
        <v>154</v>
      </c>
      <c r="D1500" s="29">
        <v>2.0</v>
      </c>
      <c r="E1500" s="30">
        <v>1450.0</v>
      </c>
      <c r="F1500" s="25" t="s">
        <v>10</v>
      </c>
      <c r="G1500" s="38">
        <v>45850.0</v>
      </c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 ht="14.25" customHeight="1">
      <c r="A1501" s="40">
        <v>45852.0</v>
      </c>
      <c r="B1501" s="33" t="s">
        <v>932</v>
      </c>
      <c r="C1501" s="33" t="s">
        <v>9</v>
      </c>
      <c r="D1501" s="29">
        <v>2.0</v>
      </c>
      <c r="E1501" s="30">
        <v>1900.0</v>
      </c>
      <c r="F1501" s="25" t="s">
        <v>10</v>
      </c>
      <c r="G1501" s="38">
        <v>45852.0</v>
      </c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 ht="14.25" customHeight="1">
      <c r="A1502" s="40">
        <v>45852.0</v>
      </c>
      <c r="B1502" s="33" t="s">
        <v>933</v>
      </c>
      <c r="C1502" s="33" t="s">
        <v>138</v>
      </c>
      <c r="D1502" s="29">
        <v>2.0</v>
      </c>
      <c r="E1502" s="30">
        <v>1800.0</v>
      </c>
      <c r="F1502" s="25" t="s">
        <v>10</v>
      </c>
      <c r="G1502" s="38">
        <v>45852.0</v>
      </c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 ht="14.25" customHeight="1">
      <c r="A1503" s="40">
        <v>45852.0</v>
      </c>
      <c r="B1503" s="33" t="s">
        <v>75</v>
      </c>
      <c r="C1503" s="33" t="s">
        <v>9</v>
      </c>
      <c r="D1503" s="29">
        <v>4.0</v>
      </c>
      <c r="E1503" s="30">
        <v>3680.0</v>
      </c>
      <c r="F1503" s="25" t="s">
        <v>10</v>
      </c>
      <c r="G1503" s="38">
        <v>45852.0</v>
      </c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 ht="14.25" customHeight="1">
      <c r="A1504" s="40">
        <v>45852.0</v>
      </c>
      <c r="B1504" s="33" t="s">
        <v>934</v>
      </c>
      <c r="C1504" s="33" t="s">
        <v>9</v>
      </c>
      <c r="D1504" s="29">
        <v>1.0</v>
      </c>
      <c r="E1504" s="30">
        <v>2950.0</v>
      </c>
      <c r="F1504" s="25" t="s">
        <v>10</v>
      </c>
      <c r="G1504" s="38">
        <v>45852.0</v>
      </c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 ht="14.25" customHeight="1">
      <c r="A1505" s="40">
        <v>45853.0</v>
      </c>
      <c r="B1505" s="33" t="s">
        <v>11</v>
      </c>
      <c r="C1505" s="33" t="s">
        <v>143</v>
      </c>
      <c r="D1505" s="29">
        <v>1.0</v>
      </c>
      <c r="E1505" s="30">
        <v>1400.0</v>
      </c>
      <c r="F1505" s="25" t="s">
        <v>10</v>
      </c>
      <c r="G1505" s="38">
        <v>45936.0</v>
      </c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 ht="14.25" customHeight="1">
      <c r="A1506" s="40">
        <v>45853.0</v>
      </c>
      <c r="B1506" s="33" t="s">
        <v>935</v>
      </c>
      <c r="C1506" s="33" t="s">
        <v>9</v>
      </c>
      <c r="D1506" s="29">
        <v>2.0</v>
      </c>
      <c r="E1506" s="30">
        <v>3700.0</v>
      </c>
      <c r="F1506" s="25" t="s">
        <v>10</v>
      </c>
      <c r="G1506" s="38">
        <v>45853.0</v>
      </c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 ht="14.25" customHeight="1">
      <c r="A1507" s="40">
        <v>45853.0</v>
      </c>
      <c r="B1507" s="33" t="s">
        <v>936</v>
      </c>
      <c r="C1507" s="33" t="s">
        <v>9</v>
      </c>
      <c r="D1507" s="29">
        <v>4.0</v>
      </c>
      <c r="E1507" s="30">
        <v>3600.0</v>
      </c>
      <c r="F1507" s="25" t="s">
        <v>10</v>
      </c>
      <c r="G1507" s="38">
        <v>45853.0</v>
      </c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 ht="14.25" customHeight="1">
      <c r="A1508" s="40">
        <v>45853.0</v>
      </c>
      <c r="B1508" s="33" t="s">
        <v>238</v>
      </c>
      <c r="C1508" s="33" t="s">
        <v>126</v>
      </c>
      <c r="D1508" s="29">
        <v>4.0</v>
      </c>
      <c r="E1508" s="41">
        <v>7000.0</v>
      </c>
      <c r="F1508" s="25" t="s">
        <v>10</v>
      </c>
      <c r="G1508" s="26">
        <v>45989.0</v>
      </c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 ht="14.25" customHeight="1">
      <c r="A1509" s="40">
        <v>45853.0</v>
      </c>
      <c r="B1509" s="33" t="s">
        <v>937</v>
      </c>
      <c r="C1509" s="33" t="s">
        <v>9</v>
      </c>
      <c r="D1509" s="29">
        <v>1.0</v>
      </c>
      <c r="E1509" s="30">
        <v>1350.0</v>
      </c>
      <c r="F1509" s="25" t="s">
        <v>10</v>
      </c>
      <c r="G1509" s="38">
        <v>45853.0</v>
      </c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 ht="14.25" customHeight="1">
      <c r="A1510" s="40">
        <v>45854.0</v>
      </c>
      <c r="B1510" s="33" t="s">
        <v>938</v>
      </c>
      <c r="C1510" s="33" t="s">
        <v>138</v>
      </c>
      <c r="D1510" s="29">
        <v>2.0</v>
      </c>
      <c r="E1510" s="30">
        <v>900.0</v>
      </c>
      <c r="F1510" s="25" t="s">
        <v>10</v>
      </c>
      <c r="G1510" s="38">
        <v>45854.0</v>
      </c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 ht="14.25" customHeight="1">
      <c r="A1511" s="40">
        <v>45854.0</v>
      </c>
      <c r="B1511" s="33" t="s">
        <v>939</v>
      </c>
      <c r="C1511" s="33" t="s">
        <v>143</v>
      </c>
      <c r="D1511" s="29">
        <v>1.0</v>
      </c>
      <c r="E1511" s="30">
        <v>1300.0</v>
      </c>
      <c r="F1511" s="25" t="s">
        <v>10</v>
      </c>
      <c r="G1511" s="26">
        <v>45941.0</v>
      </c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 ht="14.25" customHeight="1">
      <c r="A1512" s="40">
        <v>45854.0</v>
      </c>
      <c r="B1512" s="33" t="s">
        <v>54</v>
      </c>
      <c r="C1512" s="33" t="s">
        <v>9</v>
      </c>
      <c r="D1512" s="29">
        <v>2.0</v>
      </c>
      <c r="E1512" s="30">
        <v>2400.0</v>
      </c>
      <c r="F1512" s="25" t="s">
        <v>10</v>
      </c>
      <c r="G1512" s="38">
        <v>45854.0</v>
      </c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 ht="14.25" customHeight="1">
      <c r="A1513" s="40">
        <v>45854.0</v>
      </c>
      <c r="B1513" s="33" t="s">
        <v>607</v>
      </c>
      <c r="C1513" s="33" t="s">
        <v>143</v>
      </c>
      <c r="D1513" s="29">
        <v>2.0</v>
      </c>
      <c r="E1513" s="30">
        <v>2800.0</v>
      </c>
      <c r="F1513" s="25" t="s">
        <v>10</v>
      </c>
      <c r="G1513" s="26">
        <v>45941.0</v>
      </c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 ht="14.25" customHeight="1">
      <c r="A1514" s="40">
        <v>45854.0</v>
      </c>
      <c r="B1514" s="33" t="s">
        <v>940</v>
      </c>
      <c r="C1514" s="33" t="s">
        <v>143</v>
      </c>
      <c r="D1514" s="29">
        <v>4.0</v>
      </c>
      <c r="E1514" s="30">
        <v>5200.0</v>
      </c>
      <c r="F1514" s="25" t="s">
        <v>10</v>
      </c>
      <c r="G1514" s="26">
        <v>45941.0</v>
      </c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 ht="14.25" customHeight="1">
      <c r="A1515" s="40">
        <v>45855.0</v>
      </c>
      <c r="B1515" s="33" t="s">
        <v>674</v>
      </c>
      <c r="C1515" s="33" t="s">
        <v>143</v>
      </c>
      <c r="D1515" s="29">
        <v>1.0</v>
      </c>
      <c r="E1515" s="30">
        <v>2000.0</v>
      </c>
      <c r="F1515" s="25" t="s">
        <v>10</v>
      </c>
      <c r="G1515" s="26">
        <v>45941.0</v>
      </c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 ht="14.25" customHeight="1">
      <c r="A1516" s="40">
        <v>45855.0</v>
      </c>
      <c r="B1516" s="33" t="s">
        <v>462</v>
      </c>
      <c r="C1516" s="33" t="s">
        <v>9</v>
      </c>
      <c r="D1516" s="29">
        <v>4.0</v>
      </c>
      <c r="E1516" s="30">
        <v>4480.0</v>
      </c>
      <c r="F1516" s="25" t="s">
        <v>10</v>
      </c>
      <c r="G1516" s="38">
        <v>45856.0</v>
      </c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 ht="14.25" customHeight="1">
      <c r="A1517" s="40">
        <v>45856.0</v>
      </c>
      <c r="B1517" s="33" t="s">
        <v>343</v>
      </c>
      <c r="C1517" s="33" t="s">
        <v>138</v>
      </c>
      <c r="D1517" s="29">
        <v>1.0</v>
      </c>
      <c r="E1517" s="30">
        <v>1250.0</v>
      </c>
      <c r="F1517" s="25" t="s">
        <v>10</v>
      </c>
      <c r="G1517" s="38">
        <v>45856.0</v>
      </c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 ht="14.25" customHeight="1">
      <c r="A1518" s="40">
        <v>45856.0</v>
      </c>
      <c r="B1518" s="33" t="s">
        <v>941</v>
      </c>
      <c r="C1518" s="33" t="s">
        <v>143</v>
      </c>
      <c r="D1518" s="29">
        <v>2.0</v>
      </c>
      <c r="E1518" s="30">
        <v>3500.0</v>
      </c>
      <c r="F1518" s="25" t="s">
        <v>10</v>
      </c>
      <c r="G1518" s="26">
        <v>45941.0</v>
      </c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 ht="14.25" customHeight="1">
      <c r="A1519" s="40">
        <v>45857.0</v>
      </c>
      <c r="B1519" s="33" t="s">
        <v>42</v>
      </c>
      <c r="C1519" s="33" t="s">
        <v>9</v>
      </c>
      <c r="D1519" s="29">
        <v>2.0</v>
      </c>
      <c r="E1519" s="30">
        <v>1200.0</v>
      </c>
      <c r="F1519" s="25" t="s">
        <v>10</v>
      </c>
      <c r="G1519" s="38">
        <v>45857.0</v>
      </c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 ht="14.25" customHeight="1">
      <c r="A1520" s="40">
        <v>45857.0</v>
      </c>
      <c r="B1520" s="33" t="s">
        <v>881</v>
      </c>
      <c r="C1520" s="33" t="s">
        <v>126</v>
      </c>
      <c r="D1520" s="29">
        <v>2.0</v>
      </c>
      <c r="E1520" s="41">
        <v>5500.0</v>
      </c>
      <c r="F1520" s="25" t="s">
        <v>10</v>
      </c>
      <c r="G1520" s="26">
        <v>45989.0</v>
      </c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 ht="14.25" customHeight="1">
      <c r="A1521" s="40">
        <v>45857.0</v>
      </c>
      <c r="B1521" s="33" t="s">
        <v>803</v>
      </c>
      <c r="C1521" s="33" t="s">
        <v>133</v>
      </c>
      <c r="D1521" s="29">
        <v>2.0</v>
      </c>
      <c r="E1521" s="39">
        <v>2100.0</v>
      </c>
      <c r="F1521" s="25" t="s">
        <v>10</v>
      </c>
      <c r="G1521" s="38">
        <v>45901.0</v>
      </c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 ht="14.25" customHeight="1">
      <c r="A1522" s="40">
        <v>45859.0</v>
      </c>
      <c r="B1522" s="33" t="s">
        <v>196</v>
      </c>
      <c r="C1522" s="33" t="s">
        <v>138</v>
      </c>
      <c r="D1522" s="29">
        <v>2.0</v>
      </c>
      <c r="E1522" s="30">
        <v>1560.0</v>
      </c>
      <c r="F1522" s="25" t="s">
        <v>10</v>
      </c>
      <c r="G1522" s="38">
        <v>45859.0</v>
      </c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 ht="14.25" customHeight="1">
      <c r="A1523" s="40">
        <v>45859.0</v>
      </c>
      <c r="B1523" s="33" t="s">
        <v>942</v>
      </c>
      <c r="C1523" s="33" t="s">
        <v>138</v>
      </c>
      <c r="D1523" s="29">
        <v>1.0</v>
      </c>
      <c r="E1523" s="30">
        <v>1525.0</v>
      </c>
      <c r="F1523" s="25" t="s">
        <v>10</v>
      </c>
      <c r="G1523" s="38">
        <v>45859.0</v>
      </c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 ht="14.25" customHeight="1">
      <c r="A1524" s="40">
        <v>45859.0</v>
      </c>
      <c r="B1524" s="33" t="s">
        <v>943</v>
      </c>
      <c r="C1524" s="33" t="s">
        <v>156</v>
      </c>
      <c r="D1524" s="29">
        <v>2.0</v>
      </c>
      <c r="E1524" s="30">
        <v>3360.0</v>
      </c>
      <c r="F1524" s="25" t="s">
        <v>10</v>
      </c>
      <c r="G1524" s="38">
        <v>45860.0</v>
      </c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 ht="14.25" customHeight="1">
      <c r="A1525" s="40">
        <v>45860.0</v>
      </c>
      <c r="B1525" s="33" t="s">
        <v>944</v>
      </c>
      <c r="C1525" s="33" t="s">
        <v>138</v>
      </c>
      <c r="D1525" s="29">
        <v>2.0</v>
      </c>
      <c r="E1525" s="30">
        <v>2000.0</v>
      </c>
      <c r="F1525" s="25" t="s">
        <v>10</v>
      </c>
      <c r="G1525" s="38">
        <v>45860.0</v>
      </c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 ht="14.25" customHeight="1">
      <c r="A1526" s="40">
        <v>45860.0</v>
      </c>
      <c r="B1526" s="33" t="s">
        <v>945</v>
      </c>
      <c r="C1526" s="33" t="s">
        <v>138</v>
      </c>
      <c r="D1526" s="29">
        <v>4.0</v>
      </c>
      <c r="E1526" s="30">
        <v>7700.0</v>
      </c>
      <c r="F1526" s="25" t="s">
        <v>10</v>
      </c>
      <c r="G1526" s="38">
        <v>45860.0</v>
      </c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 ht="14.25" customHeight="1">
      <c r="A1527" s="40">
        <v>45860.0</v>
      </c>
      <c r="B1527" s="33" t="s">
        <v>946</v>
      </c>
      <c r="C1527" s="33" t="s">
        <v>138</v>
      </c>
      <c r="D1527" s="29">
        <v>6.0</v>
      </c>
      <c r="E1527" s="30">
        <v>3690.0</v>
      </c>
      <c r="F1527" s="25" t="s">
        <v>10</v>
      </c>
      <c r="G1527" s="38">
        <v>45860.0</v>
      </c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 ht="14.25" customHeight="1">
      <c r="A1528" s="40">
        <v>45860.0</v>
      </c>
      <c r="B1528" s="33" t="s">
        <v>947</v>
      </c>
      <c r="C1528" s="33" t="s">
        <v>143</v>
      </c>
      <c r="D1528" s="29">
        <v>2.0</v>
      </c>
      <c r="E1528" s="30">
        <v>7200.0</v>
      </c>
      <c r="F1528" s="25" t="s">
        <v>10</v>
      </c>
      <c r="G1528" s="26">
        <v>45941.0</v>
      </c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 ht="14.25" customHeight="1">
      <c r="A1529" s="40">
        <v>45860.0</v>
      </c>
      <c r="B1529" s="33" t="s">
        <v>813</v>
      </c>
      <c r="C1529" s="33" t="s">
        <v>138</v>
      </c>
      <c r="D1529" s="29">
        <v>4.0</v>
      </c>
      <c r="E1529" s="30">
        <v>4600.0</v>
      </c>
      <c r="F1529" s="25" t="s">
        <v>10</v>
      </c>
      <c r="G1529" s="38">
        <v>45860.0</v>
      </c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 ht="14.25" customHeight="1">
      <c r="A1530" s="40">
        <v>45861.0</v>
      </c>
      <c r="B1530" s="33" t="s">
        <v>948</v>
      </c>
      <c r="C1530" s="33" t="s">
        <v>325</v>
      </c>
      <c r="D1530" s="29">
        <v>2.0</v>
      </c>
      <c r="E1530" s="30">
        <v>4600.0</v>
      </c>
      <c r="F1530" s="25" t="s">
        <v>10</v>
      </c>
      <c r="G1530" s="26">
        <v>45973.0</v>
      </c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 ht="14.25" customHeight="1">
      <c r="A1531" s="40">
        <v>45861.0</v>
      </c>
      <c r="B1531" s="33" t="s">
        <v>214</v>
      </c>
      <c r="C1531" s="33" t="s">
        <v>9</v>
      </c>
      <c r="D1531" s="29">
        <v>2.0</v>
      </c>
      <c r="E1531" s="30">
        <v>2700.0</v>
      </c>
      <c r="F1531" s="25" t="s">
        <v>10</v>
      </c>
      <c r="G1531" s="38">
        <v>45863.0</v>
      </c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 ht="14.25" customHeight="1">
      <c r="A1532" s="40">
        <v>45861.0</v>
      </c>
      <c r="B1532" s="33" t="s">
        <v>477</v>
      </c>
      <c r="C1532" s="33" t="s">
        <v>154</v>
      </c>
      <c r="D1532" s="29">
        <v>4.0</v>
      </c>
      <c r="E1532" s="30">
        <v>3470.0</v>
      </c>
      <c r="F1532" s="25" t="s">
        <v>10</v>
      </c>
      <c r="G1532" s="38">
        <v>45861.0</v>
      </c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 ht="14.25" customHeight="1">
      <c r="A1533" s="40">
        <v>45862.0</v>
      </c>
      <c r="B1533" s="33" t="s">
        <v>709</v>
      </c>
      <c r="C1533" s="33" t="s">
        <v>143</v>
      </c>
      <c r="D1533" s="29">
        <v>2.0</v>
      </c>
      <c r="E1533" s="30">
        <v>2600.0</v>
      </c>
      <c r="F1533" s="25" t="s">
        <v>10</v>
      </c>
      <c r="G1533" s="38">
        <v>45997.0</v>
      </c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 ht="14.25" customHeight="1">
      <c r="A1534" s="40">
        <v>45862.0</v>
      </c>
      <c r="B1534" s="33" t="s">
        <v>853</v>
      </c>
      <c r="C1534" s="33" t="s">
        <v>126</v>
      </c>
      <c r="D1534" s="29">
        <v>4.0</v>
      </c>
      <c r="E1534" s="41">
        <v>7000.0</v>
      </c>
      <c r="F1534" s="25" t="s">
        <v>10</v>
      </c>
      <c r="G1534" s="26">
        <v>45989.0</v>
      </c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 ht="14.25" customHeight="1">
      <c r="A1535" s="40">
        <v>45862.0</v>
      </c>
      <c r="B1535" s="33" t="s">
        <v>816</v>
      </c>
      <c r="C1535" s="33" t="s">
        <v>138</v>
      </c>
      <c r="D1535" s="29">
        <v>4.0</v>
      </c>
      <c r="E1535" s="30">
        <v>7600.0</v>
      </c>
      <c r="F1535" s="25" t="s">
        <v>10</v>
      </c>
      <c r="G1535" s="38">
        <v>45862.0</v>
      </c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 ht="14.25" customHeight="1">
      <c r="A1536" s="40">
        <v>45862.0</v>
      </c>
      <c r="B1536" s="33" t="s">
        <v>878</v>
      </c>
      <c r="C1536" s="33" t="s">
        <v>138</v>
      </c>
      <c r="D1536" s="29">
        <v>2.0</v>
      </c>
      <c r="E1536" s="30">
        <v>1800.0</v>
      </c>
      <c r="F1536" s="25" t="s">
        <v>10</v>
      </c>
      <c r="G1536" s="38">
        <v>45862.0</v>
      </c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 ht="14.25" customHeight="1">
      <c r="A1537" s="40">
        <v>45862.0</v>
      </c>
      <c r="B1537" s="33" t="s">
        <v>238</v>
      </c>
      <c r="C1537" s="33" t="s">
        <v>83</v>
      </c>
      <c r="D1537" s="29">
        <v>2.0</v>
      </c>
      <c r="E1537" s="30">
        <v>3800.0</v>
      </c>
      <c r="F1537" s="25" t="s">
        <v>10</v>
      </c>
      <c r="G1537" s="38">
        <v>45862.0</v>
      </c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 ht="14.25" customHeight="1">
      <c r="A1538" s="40">
        <v>45862.0</v>
      </c>
      <c r="B1538" s="33" t="s">
        <v>949</v>
      </c>
      <c r="C1538" s="33" t="s">
        <v>136</v>
      </c>
      <c r="D1538" s="29">
        <v>4.0</v>
      </c>
      <c r="E1538" s="30">
        <v>4680.0</v>
      </c>
      <c r="F1538" s="25" t="s">
        <v>10</v>
      </c>
      <c r="G1538" s="38">
        <v>45862.0</v>
      </c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 ht="14.25" customHeight="1">
      <c r="A1539" s="40">
        <v>45863.0</v>
      </c>
      <c r="B1539" s="33" t="s">
        <v>903</v>
      </c>
      <c r="C1539" s="33" t="s">
        <v>138</v>
      </c>
      <c r="D1539" s="29">
        <v>2.0</v>
      </c>
      <c r="E1539" s="30">
        <v>1720.0</v>
      </c>
      <c r="F1539" s="25" t="s">
        <v>10</v>
      </c>
      <c r="G1539" s="38">
        <v>45863.0</v>
      </c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 ht="14.25" customHeight="1">
      <c r="A1540" s="40">
        <v>45863.0</v>
      </c>
      <c r="B1540" s="33" t="s">
        <v>950</v>
      </c>
      <c r="C1540" s="33" t="s">
        <v>9</v>
      </c>
      <c r="D1540" s="29">
        <v>2.0</v>
      </c>
      <c r="E1540" s="30">
        <v>2700.0</v>
      </c>
      <c r="F1540" s="25" t="s">
        <v>10</v>
      </c>
      <c r="G1540" s="38">
        <v>45863.0</v>
      </c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 ht="14.25" customHeight="1">
      <c r="A1541" s="40">
        <v>45863.0</v>
      </c>
      <c r="B1541" s="33" t="s">
        <v>104</v>
      </c>
      <c r="C1541" s="33" t="s">
        <v>138</v>
      </c>
      <c r="D1541" s="29">
        <v>2.0</v>
      </c>
      <c r="E1541" s="30">
        <v>2000.0</v>
      </c>
      <c r="F1541" s="25" t="s">
        <v>10</v>
      </c>
      <c r="G1541" s="38">
        <v>45863.0</v>
      </c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 ht="14.25" customHeight="1">
      <c r="A1542" s="40">
        <v>45863.0</v>
      </c>
      <c r="B1542" s="33" t="s">
        <v>951</v>
      </c>
      <c r="C1542" s="33" t="s">
        <v>133</v>
      </c>
      <c r="D1542" s="29">
        <v>1.0</v>
      </c>
      <c r="E1542" s="39">
        <v>1600.0</v>
      </c>
      <c r="F1542" s="25" t="s">
        <v>10</v>
      </c>
      <c r="G1542" s="38">
        <v>45901.0</v>
      </c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 ht="14.25" customHeight="1">
      <c r="A1543" s="40">
        <v>45864.0</v>
      </c>
      <c r="B1543" s="33" t="s">
        <v>48</v>
      </c>
      <c r="C1543" s="33" t="s">
        <v>143</v>
      </c>
      <c r="D1543" s="29">
        <v>1.0</v>
      </c>
      <c r="E1543" s="30">
        <v>1100.0</v>
      </c>
      <c r="F1543" s="25" t="s">
        <v>10</v>
      </c>
      <c r="G1543" s="38">
        <v>45997.0</v>
      </c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 ht="14.25" customHeight="1">
      <c r="A1544" s="40">
        <v>45864.0</v>
      </c>
      <c r="B1544" s="33" t="s">
        <v>818</v>
      </c>
      <c r="C1544" s="33" t="s">
        <v>138</v>
      </c>
      <c r="D1544" s="29">
        <v>4.0</v>
      </c>
      <c r="E1544" s="30">
        <v>3200.0</v>
      </c>
      <c r="F1544" s="25" t="s">
        <v>10</v>
      </c>
      <c r="G1544" s="38">
        <v>45864.0</v>
      </c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 ht="14.25" customHeight="1">
      <c r="A1545" s="40">
        <v>45864.0</v>
      </c>
      <c r="B1545" s="33" t="s">
        <v>952</v>
      </c>
      <c r="C1545" s="33" t="s">
        <v>138</v>
      </c>
      <c r="D1545" s="29">
        <v>2.0</v>
      </c>
      <c r="E1545" s="30">
        <v>2400.0</v>
      </c>
      <c r="F1545" s="25" t="s">
        <v>10</v>
      </c>
      <c r="G1545" s="38">
        <v>45864.0</v>
      </c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>
      <c r="A1546" s="40">
        <v>45864.0</v>
      </c>
      <c r="B1546" s="33" t="s">
        <v>953</v>
      </c>
      <c r="C1546" s="33" t="s">
        <v>143</v>
      </c>
      <c r="D1546" s="29">
        <v>1.0</v>
      </c>
      <c r="E1546" s="30">
        <v>1200.0</v>
      </c>
      <c r="F1546" s="25" t="s">
        <v>10</v>
      </c>
      <c r="G1546" s="38">
        <v>45866.0</v>
      </c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>
      <c r="A1547" s="40">
        <v>45866.0</v>
      </c>
      <c r="B1547" s="33" t="s">
        <v>16</v>
      </c>
      <c r="C1547" s="33" t="s">
        <v>143</v>
      </c>
      <c r="D1547" s="29">
        <v>1.0</v>
      </c>
      <c r="E1547" s="30">
        <v>1100.0</v>
      </c>
      <c r="F1547" s="25" t="s">
        <v>10</v>
      </c>
      <c r="G1547" s="38">
        <v>45997.0</v>
      </c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>
      <c r="A1548" s="40">
        <v>45866.0</v>
      </c>
      <c r="B1548" s="33" t="s">
        <v>16</v>
      </c>
      <c r="C1548" s="33" t="s">
        <v>83</v>
      </c>
      <c r="D1548" s="29">
        <v>1.0</v>
      </c>
      <c r="E1548" s="30">
        <v>1200.0</v>
      </c>
      <c r="F1548" s="25" t="s">
        <v>10</v>
      </c>
      <c r="G1548" s="38">
        <v>45866.0</v>
      </c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>
      <c r="A1549" s="40">
        <v>45866.0</v>
      </c>
      <c r="B1549" s="33" t="s">
        <v>954</v>
      </c>
      <c r="C1549" s="33" t="s">
        <v>143</v>
      </c>
      <c r="D1549" s="29">
        <v>4.0</v>
      </c>
      <c r="E1549" s="30">
        <v>4800.0</v>
      </c>
      <c r="F1549" s="25" t="s">
        <v>10</v>
      </c>
      <c r="G1549" s="38">
        <v>45997.0</v>
      </c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>
      <c r="A1550" s="40">
        <v>45866.0</v>
      </c>
      <c r="B1550" s="33" t="s">
        <v>64</v>
      </c>
      <c r="C1550" s="33" t="s">
        <v>138</v>
      </c>
      <c r="D1550" s="29">
        <v>1.0</v>
      </c>
      <c r="E1550" s="30">
        <v>615.0</v>
      </c>
      <c r="F1550" s="25" t="s">
        <v>10</v>
      </c>
      <c r="G1550" s="38">
        <v>45866.0</v>
      </c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>
      <c r="A1551" s="40">
        <v>45866.0</v>
      </c>
      <c r="B1551" s="33" t="s">
        <v>770</v>
      </c>
      <c r="C1551" s="33" t="s">
        <v>156</v>
      </c>
      <c r="D1551" s="29">
        <v>2.0</v>
      </c>
      <c r="E1551" s="30">
        <v>2812.0</v>
      </c>
      <c r="F1551" s="25" t="s">
        <v>10</v>
      </c>
      <c r="G1551" s="38">
        <v>45866.0</v>
      </c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>
      <c r="A1552" s="40">
        <v>45867.0</v>
      </c>
      <c r="B1552" s="33" t="s">
        <v>955</v>
      </c>
      <c r="C1552" s="33" t="s">
        <v>143</v>
      </c>
      <c r="D1552" s="29">
        <v>2.0</v>
      </c>
      <c r="E1552" s="30">
        <v>2400.0</v>
      </c>
      <c r="F1552" s="25" t="s">
        <v>10</v>
      </c>
      <c r="G1552" s="38">
        <v>45869.0</v>
      </c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>
      <c r="A1553" s="40">
        <v>45867.0</v>
      </c>
      <c r="B1553" s="33" t="s">
        <v>956</v>
      </c>
      <c r="C1553" s="33" t="s">
        <v>143</v>
      </c>
      <c r="D1553" s="29">
        <v>1.0</v>
      </c>
      <c r="E1553" s="30">
        <v>1300.0</v>
      </c>
      <c r="F1553" s="25" t="s">
        <v>10</v>
      </c>
      <c r="G1553" s="38">
        <v>45869.0</v>
      </c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>
      <c r="A1554" s="40">
        <v>45868.0</v>
      </c>
      <c r="B1554" s="33" t="s">
        <v>957</v>
      </c>
      <c r="C1554" s="33" t="s">
        <v>126</v>
      </c>
      <c r="D1554" s="29">
        <v>2.0</v>
      </c>
      <c r="E1554" s="41">
        <v>3100.0</v>
      </c>
      <c r="F1554" s="25" t="s">
        <v>10</v>
      </c>
      <c r="G1554" s="26">
        <v>45989.0</v>
      </c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>
      <c r="A1555" s="40">
        <v>45868.0</v>
      </c>
      <c r="B1555" s="33" t="s">
        <v>958</v>
      </c>
      <c r="C1555" s="33" t="s">
        <v>9</v>
      </c>
      <c r="D1555" s="29">
        <v>2.0</v>
      </c>
      <c r="E1555" s="30">
        <v>5000.0</v>
      </c>
      <c r="F1555" s="25" t="s">
        <v>10</v>
      </c>
      <c r="G1555" s="38">
        <v>45870.0</v>
      </c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>
      <c r="A1556" s="40">
        <v>45868.0</v>
      </c>
      <c r="B1556" s="33" t="s">
        <v>959</v>
      </c>
      <c r="C1556" s="33" t="s">
        <v>9</v>
      </c>
      <c r="D1556" s="29">
        <v>2.0</v>
      </c>
      <c r="E1556" s="30">
        <v>1200.0</v>
      </c>
      <c r="F1556" s="25" t="s">
        <v>10</v>
      </c>
      <c r="G1556" s="38">
        <v>45870.0</v>
      </c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>
      <c r="A1557" s="40">
        <v>45868.0</v>
      </c>
      <c r="B1557" s="33" t="s">
        <v>960</v>
      </c>
      <c r="C1557" s="33" t="s">
        <v>9</v>
      </c>
      <c r="D1557" s="29">
        <v>2.0</v>
      </c>
      <c r="E1557" s="30">
        <v>1240.0</v>
      </c>
      <c r="F1557" s="25" t="s">
        <v>10</v>
      </c>
      <c r="G1557" s="38">
        <v>45870.0</v>
      </c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>
      <c r="A1558" s="40">
        <v>45868.0</v>
      </c>
      <c r="B1558" s="33" t="s">
        <v>37</v>
      </c>
      <c r="C1558" s="33" t="s">
        <v>133</v>
      </c>
      <c r="D1558" s="29">
        <v>1.0</v>
      </c>
      <c r="E1558" s="39">
        <v>650.0</v>
      </c>
      <c r="F1558" s="25" t="s">
        <v>10</v>
      </c>
      <c r="G1558" s="38">
        <v>45901.0</v>
      </c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>
      <c r="A1559" s="40">
        <v>45869.0</v>
      </c>
      <c r="B1559" s="33" t="s">
        <v>961</v>
      </c>
      <c r="C1559" s="33" t="s">
        <v>143</v>
      </c>
      <c r="D1559" s="29">
        <v>4.0</v>
      </c>
      <c r="E1559" s="30">
        <v>5000.0</v>
      </c>
      <c r="F1559" s="25" t="s">
        <v>10</v>
      </c>
      <c r="G1559" s="38">
        <v>45997.0</v>
      </c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>
      <c r="A1560" s="40">
        <v>45869.0</v>
      </c>
      <c r="B1560" s="33" t="s">
        <v>962</v>
      </c>
      <c r="C1560" s="33" t="s">
        <v>128</v>
      </c>
      <c r="D1560" s="29">
        <v>2.0</v>
      </c>
      <c r="E1560" s="30">
        <v>778.0</v>
      </c>
      <c r="F1560" s="25" t="s">
        <v>10</v>
      </c>
      <c r="G1560" s="38">
        <v>45869.0</v>
      </c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>
      <c r="A1561" s="40">
        <v>45870.0</v>
      </c>
      <c r="B1561" s="33" t="s">
        <v>963</v>
      </c>
      <c r="C1561" s="33" t="s">
        <v>143</v>
      </c>
      <c r="D1561" s="29">
        <v>4.0</v>
      </c>
      <c r="E1561" s="41">
        <v>8800.0</v>
      </c>
      <c r="F1561" s="25" t="s">
        <v>10</v>
      </c>
      <c r="G1561" s="26">
        <v>46014.0</v>
      </c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>
      <c r="A1562" s="40">
        <v>45871.0</v>
      </c>
      <c r="B1562" s="33" t="s">
        <v>399</v>
      </c>
      <c r="C1562" s="33" t="s">
        <v>143</v>
      </c>
      <c r="D1562" s="29">
        <v>1.0</v>
      </c>
      <c r="E1562" s="41">
        <v>1700.0</v>
      </c>
      <c r="F1562" s="25" t="s">
        <v>10</v>
      </c>
      <c r="G1562" s="26">
        <v>46014.0</v>
      </c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>
      <c r="A1563" s="40">
        <v>45871.0</v>
      </c>
      <c r="B1563" s="33" t="s">
        <v>639</v>
      </c>
      <c r="C1563" s="33" t="s">
        <v>138</v>
      </c>
      <c r="D1563" s="29">
        <v>2.0</v>
      </c>
      <c r="E1563" s="30">
        <v>1840.0</v>
      </c>
      <c r="F1563" s="25" t="s">
        <v>10</v>
      </c>
      <c r="G1563" s="38">
        <v>45871.0</v>
      </c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>
      <c r="A1564" s="40">
        <v>45871.0</v>
      </c>
      <c r="B1564" s="33" t="s">
        <v>16</v>
      </c>
      <c r="C1564" s="33" t="s">
        <v>711</v>
      </c>
      <c r="D1564" s="29">
        <v>2.0</v>
      </c>
      <c r="E1564" s="30">
        <v>2400.0</v>
      </c>
      <c r="F1564" s="25" t="s">
        <v>10</v>
      </c>
      <c r="G1564" s="38">
        <v>45871.0</v>
      </c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>
      <c r="A1565" s="40">
        <v>45873.0</v>
      </c>
      <c r="B1565" s="33" t="s">
        <v>214</v>
      </c>
      <c r="C1565" s="33" t="s">
        <v>9</v>
      </c>
      <c r="D1565" s="29">
        <v>2.0</v>
      </c>
      <c r="E1565" s="30">
        <v>2700.0</v>
      </c>
      <c r="F1565" s="25" t="s">
        <v>10</v>
      </c>
      <c r="G1565" s="38">
        <v>45873.0</v>
      </c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>
      <c r="A1566" s="40">
        <v>45873.0</v>
      </c>
      <c r="B1566" s="33" t="s">
        <v>467</v>
      </c>
      <c r="C1566" s="33" t="s">
        <v>138</v>
      </c>
      <c r="D1566" s="29">
        <v>2.0</v>
      </c>
      <c r="E1566" s="30">
        <v>2300.0</v>
      </c>
      <c r="F1566" s="25" t="s">
        <v>10</v>
      </c>
      <c r="G1566" s="38">
        <v>45873.0</v>
      </c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>
      <c r="A1567" s="40">
        <v>45874.0</v>
      </c>
      <c r="B1567" s="33" t="s">
        <v>13</v>
      </c>
      <c r="C1567" s="33" t="s">
        <v>133</v>
      </c>
      <c r="D1567" s="29">
        <v>1.0</v>
      </c>
      <c r="E1567" s="30">
        <v>1400.0</v>
      </c>
      <c r="F1567" s="25" t="s">
        <v>10</v>
      </c>
      <c r="G1567" s="38">
        <v>45911.0</v>
      </c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>
      <c r="A1568" s="40">
        <v>45874.0</v>
      </c>
      <c r="B1568" s="33" t="s">
        <v>964</v>
      </c>
      <c r="C1568" s="33" t="s">
        <v>9</v>
      </c>
      <c r="D1568" s="29">
        <v>1.0</v>
      </c>
      <c r="E1568" s="30">
        <v>1150.0</v>
      </c>
      <c r="F1568" s="25" t="s">
        <v>10</v>
      </c>
      <c r="G1568" s="38">
        <v>45874.0</v>
      </c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>
      <c r="A1569" s="40">
        <v>45874.0</v>
      </c>
      <c r="B1569" s="33" t="s">
        <v>32</v>
      </c>
      <c r="C1569" s="33" t="s">
        <v>143</v>
      </c>
      <c r="D1569" s="29">
        <v>2.0</v>
      </c>
      <c r="E1569" s="41">
        <v>1500.0</v>
      </c>
      <c r="F1569" s="25" t="s">
        <v>10</v>
      </c>
      <c r="G1569" s="26">
        <v>46014.0</v>
      </c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>
      <c r="A1570" s="40">
        <v>45874.0</v>
      </c>
      <c r="B1570" s="33" t="s">
        <v>965</v>
      </c>
      <c r="C1570" s="33" t="s">
        <v>154</v>
      </c>
      <c r="D1570" s="29">
        <v>2.0</v>
      </c>
      <c r="E1570" s="30">
        <v>2840.0</v>
      </c>
      <c r="F1570" s="25" t="s">
        <v>10</v>
      </c>
      <c r="G1570" s="38">
        <v>45874.0</v>
      </c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>
      <c r="A1571" s="40">
        <v>45875.0</v>
      </c>
      <c r="B1571" s="33" t="s">
        <v>966</v>
      </c>
      <c r="C1571" s="33" t="s">
        <v>143</v>
      </c>
      <c r="D1571" s="29">
        <v>2.0</v>
      </c>
      <c r="E1571" s="41">
        <v>5100.0</v>
      </c>
      <c r="F1571" s="25" t="s">
        <v>10</v>
      </c>
      <c r="G1571" s="26">
        <v>46014.0</v>
      </c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>
      <c r="A1572" s="40">
        <v>45875.0</v>
      </c>
      <c r="B1572" s="33" t="s">
        <v>967</v>
      </c>
      <c r="C1572" s="33" t="s">
        <v>126</v>
      </c>
      <c r="D1572" s="29">
        <v>2.0</v>
      </c>
      <c r="E1572" s="30">
        <v>2800.0</v>
      </c>
      <c r="F1572" s="25" t="s">
        <v>10</v>
      </c>
      <c r="G1572" s="26">
        <v>46022.0</v>
      </c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>
      <c r="A1573" s="40">
        <v>45875.0</v>
      </c>
      <c r="B1573" s="33" t="s">
        <v>269</v>
      </c>
      <c r="C1573" s="33" t="s">
        <v>138</v>
      </c>
      <c r="D1573" s="29">
        <v>2.0</v>
      </c>
      <c r="E1573" s="30">
        <v>1400.0</v>
      </c>
      <c r="F1573" s="25" t="s">
        <v>10</v>
      </c>
      <c r="G1573" s="38">
        <v>45875.0</v>
      </c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>
      <c r="A1574" s="40">
        <v>45875.0</v>
      </c>
      <c r="B1574" s="33" t="s">
        <v>64</v>
      </c>
      <c r="C1574" s="33" t="s">
        <v>138</v>
      </c>
      <c r="D1574" s="29">
        <v>6.0</v>
      </c>
      <c r="E1574" s="30">
        <v>3690.0</v>
      </c>
      <c r="F1574" s="25" t="s">
        <v>10</v>
      </c>
      <c r="G1574" s="38">
        <v>45875.0</v>
      </c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>
      <c r="A1575" s="40">
        <v>45875.0</v>
      </c>
      <c r="B1575" s="33" t="s">
        <v>927</v>
      </c>
      <c r="C1575" s="33" t="s">
        <v>133</v>
      </c>
      <c r="D1575" s="29">
        <v>2.0</v>
      </c>
      <c r="E1575" s="41">
        <v>1500.0</v>
      </c>
      <c r="F1575" s="25" t="s">
        <v>10</v>
      </c>
      <c r="G1575" s="38">
        <v>45930.0</v>
      </c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>
      <c r="A1576" s="40">
        <v>45875.0</v>
      </c>
      <c r="B1576" s="33" t="s">
        <v>968</v>
      </c>
      <c r="C1576" s="33" t="s">
        <v>9</v>
      </c>
      <c r="D1576" s="29">
        <v>1.0</v>
      </c>
      <c r="E1576" s="30">
        <v>3100.0</v>
      </c>
      <c r="F1576" s="25" t="s">
        <v>10</v>
      </c>
      <c r="G1576" s="38">
        <v>45876.0</v>
      </c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>
      <c r="A1577" s="40">
        <v>45876.0</v>
      </c>
      <c r="B1577" s="33" t="s">
        <v>369</v>
      </c>
      <c r="C1577" s="33" t="s">
        <v>9</v>
      </c>
      <c r="D1577" s="29">
        <v>1.0</v>
      </c>
      <c r="E1577" s="30">
        <v>680.0</v>
      </c>
      <c r="F1577" s="25" t="s">
        <v>10</v>
      </c>
      <c r="G1577" s="38">
        <v>45876.0</v>
      </c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>
      <c r="A1578" s="40">
        <v>45876.0</v>
      </c>
      <c r="B1578" s="33" t="s">
        <v>969</v>
      </c>
      <c r="C1578" s="33" t="s">
        <v>126</v>
      </c>
      <c r="D1578" s="29">
        <v>4.0</v>
      </c>
      <c r="E1578" s="30">
        <v>4600.0</v>
      </c>
      <c r="F1578" s="25" t="s">
        <v>10</v>
      </c>
      <c r="G1578" s="26">
        <v>46022.0</v>
      </c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>
      <c r="A1579" s="40">
        <v>45876.0</v>
      </c>
      <c r="B1579" s="33" t="s">
        <v>818</v>
      </c>
      <c r="C1579" s="33" t="s">
        <v>138</v>
      </c>
      <c r="D1579" s="29">
        <v>2.0</v>
      </c>
      <c r="E1579" s="30">
        <v>1600.0</v>
      </c>
      <c r="F1579" s="25" t="s">
        <v>10</v>
      </c>
      <c r="G1579" s="38">
        <v>45876.0</v>
      </c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>
      <c r="A1580" s="40">
        <v>45876.0</v>
      </c>
      <c r="B1580" s="33" t="s">
        <v>94</v>
      </c>
      <c r="C1580" s="33" t="s">
        <v>126</v>
      </c>
      <c r="D1580" s="29">
        <v>3.0</v>
      </c>
      <c r="E1580" s="30">
        <v>5250.0</v>
      </c>
      <c r="F1580" s="25" t="s">
        <v>10</v>
      </c>
      <c r="G1580" s="26">
        <v>46022.0</v>
      </c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>
      <c r="A1581" s="40">
        <v>45877.0</v>
      </c>
      <c r="B1581" s="33" t="s">
        <v>609</v>
      </c>
      <c r="C1581" s="33" t="s">
        <v>138</v>
      </c>
      <c r="D1581" s="29">
        <v>2.0</v>
      </c>
      <c r="E1581" s="30">
        <v>1160.0</v>
      </c>
      <c r="F1581" s="25" t="s">
        <v>10</v>
      </c>
      <c r="G1581" s="38">
        <v>45877.0</v>
      </c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>
      <c r="A1582" s="40">
        <v>45877.0</v>
      </c>
      <c r="B1582" s="33" t="s">
        <v>970</v>
      </c>
      <c r="C1582" s="33" t="s">
        <v>138</v>
      </c>
      <c r="D1582" s="29">
        <v>2.0</v>
      </c>
      <c r="E1582" s="30">
        <v>1800.0</v>
      </c>
      <c r="F1582" s="25" t="s">
        <v>10</v>
      </c>
      <c r="G1582" s="38">
        <v>45877.0</v>
      </c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>
      <c r="A1583" s="40">
        <v>45877.0</v>
      </c>
      <c r="B1583" s="33" t="s">
        <v>971</v>
      </c>
      <c r="C1583" s="33" t="s">
        <v>138</v>
      </c>
      <c r="D1583" s="29">
        <v>2.0</v>
      </c>
      <c r="E1583" s="30">
        <v>1550.0</v>
      </c>
      <c r="F1583" s="25" t="s">
        <v>10</v>
      </c>
      <c r="G1583" s="38">
        <v>45877.0</v>
      </c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>
      <c r="A1584" s="40">
        <v>45878.0</v>
      </c>
      <c r="B1584" s="33" t="s">
        <v>896</v>
      </c>
      <c r="C1584" s="33" t="s">
        <v>9</v>
      </c>
      <c r="D1584" s="29">
        <v>2.0</v>
      </c>
      <c r="E1584" s="30">
        <v>2100.0</v>
      </c>
      <c r="F1584" s="25" t="s">
        <v>10</v>
      </c>
      <c r="G1584" s="38">
        <v>45878.0</v>
      </c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>
      <c r="A1585" s="40">
        <v>45878.0</v>
      </c>
      <c r="B1585" s="33" t="s">
        <v>477</v>
      </c>
      <c r="C1585" s="33" t="s">
        <v>154</v>
      </c>
      <c r="D1585" s="29">
        <v>4.0</v>
      </c>
      <c r="E1585" s="30">
        <v>3260.0</v>
      </c>
      <c r="F1585" s="25" t="s">
        <v>222</v>
      </c>
      <c r="G1585" s="38">
        <v>45878.0</v>
      </c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>
      <c r="A1586" s="40">
        <v>45880.0</v>
      </c>
      <c r="B1586" s="33" t="s">
        <v>258</v>
      </c>
      <c r="C1586" s="33" t="s">
        <v>9</v>
      </c>
      <c r="D1586" s="29">
        <v>4.0</v>
      </c>
      <c r="E1586" s="30">
        <v>1840.0</v>
      </c>
      <c r="F1586" s="25" t="s">
        <v>10</v>
      </c>
      <c r="G1586" s="38">
        <v>45880.0</v>
      </c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>
      <c r="A1587" s="40">
        <v>45880.0</v>
      </c>
      <c r="B1587" s="33" t="s">
        <v>972</v>
      </c>
      <c r="C1587" s="33" t="s">
        <v>143</v>
      </c>
      <c r="D1587" s="29">
        <v>2.0</v>
      </c>
      <c r="E1587" s="41">
        <v>3100.0</v>
      </c>
      <c r="F1587" s="25" t="s">
        <v>10</v>
      </c>
      <c r="G1587" s="26">
        <v>46014.0</v>
      </c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>
      <c r="A1588" s="40">
        <v>45881.0</v>
      </c>
      <c r="B1588" s="33" t="s">
        <v>590</v>
      </c>
      <c r="C1588" s="33" t="s">
        <v>126</v>
      </c>
      <c r="D1588" s="29">
        <v>2.0</v>
      </c>
      <c r="E1588" s="30">
        <v>3300.0</v>
      </c>
      <c r="F1588" s="25" t="s">
        <v>10</v>
      </c>
      <c r="G1588" s="26">
        <v>46022.0</v>
      </c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>
      <c r="A1589" s="40">
        <v>45881.0</v>
      </c>
      <c r="B1589" s="33" t="s">
        <v>493</v>
      </c>
      <c r="C1589" s="33" t="s">
        <v>711</v>
      </c>
      <c r="D1589" s="29">
        <v>2.0</v>
      </c>
      <c r="E1589" s="30">
        <v>2400.0</v>
      </c>
      <c r="F1589" s="25" t="s">
        <v>10</v>
      </c>
      <c r="G1589" s="38">
        <v>45881.0</v>
      </c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>
      <c r="A1590" s="40">
        <v>45881.0</v>
      </c>
      <c r="B1590" s="33" t="s">
        <v>207</v>
      </c>
      <c r="C1590" s="33" t="s">
        <v>9</v>
      </c>
      <c r="D1590" s="29">
        <v>4.0</v>
      </c>
      <c r="E1590" s="30">
        <v>4480.0</v>
      </c>
      <c r="F1590" s="25" t="s">
        <v>10</v>
      </c>
      <c r="G1590" s="38">
        <v>45881.0</v>
      </c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>
      <c r="A1591" s="40">
        <v>45881.0</v>
      </c>
      <c r="B1591" s="33" t="s">
        <v>30</v>
      </c>
      <c r="C1591" s="33" t="s">
        <v>973</v>
      </c>
      <c r="D1591" s="29">
        <v>4.0</v>
      </c>
      <c r="E1591" s="30">
        <v>3800.0</v>
      </c>
      <c r="F1591" s="25" t="s">
        <v>10</v>
      </c>
      <c r="G1591" s="38">
        <v>45881.0</v>
      </c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>
      <c r="A1592" s="40">
        <v>45881.0</v>
      </c>
      <c r="B1592" s="33" t="s">
        <v>609</v>
      </c>
      <c r="C1592" s="33" t="s">
        <v>138</v>
      </c>
      <c r="D1592" s="29">
        <v>4.0</v>
      </c>
      <c r="E1592" s="30">
        <v>2320.0</v>
      </c>
      <c r="F1592" s="25" t="s">
        <v>10</v>
      </c>
      <c r="G1592" s="38">
        <v>45881.0</v>
      </c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>
      <c r="A1593" s="40">
        <v>45881.0</v>
      </c>
      <c r="B1593" s="33" t="s">
        <v>709</v>
      </c>
      <c r="C1593" s="33" t="s">
        <v>143</v>
      </c>
      <c r="D1593" s="29">
        <v>2.0</v>
      </c>
      <c r="E1593" s="30">
        <v>2500.0</v>
      </c>
      <c r="F1593" s="25" t="s">
        <v>10</v>
      </c>
      <c r="G1593" s="38">
        <v>45881.0</v>
      </c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>
      <c r="A1594" s="40">
        <v>45881.0</v>
      </c>
      <c r="B1594" s="33" t="s">
        <v>582</v>
      </c>
      <c r="C1594" s="33" t="s">
        <v>143</v>
      </c>
      <c r="D1594" s="29">
        <v>1.0</v>
      </c>
      <c r="E1594" s="41">
        <v>1700.0</v>
      </c>
      <c r="F1594" s="25" t="s">
        <v>10</v>
      </c>
      <c r="G1594" s="26">
        <v>46018.0</v>
      </c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>
      <c r="A1595" s="40">
        <v>45882.0</v>
      </c>
      <c r="B1595" s="33" t="s">
        <v>214</v>
      </c>
      <c r="C1595" s="33" t="s">
        <v>138</v>
      </c>
      <c r="D1595" s="29">
        <v>2.0</v>
      </c>
      <c r="E1595" s="30">
        <v>2600.0</v>
      </c>
      <c r="F1595" s="25" t="s">
        <v>10</v>
      </c>
      <c r="G1595" s="38">
        <v>45882.0</v>
      </c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>
      <c r="A1596" s="40">
        <v>45882.0</v>
      </c>
      <c r="B1596" s="33" t="s">
        <v>974</v>
      </c>
      <c r="C1596" s="33" t="s">
        <v>138</v>
      </c>
      <c r="D1596" s="29">
        <v>2.0</v>
      </c>
      <c r="E1596" s="30">
        <v>2500.0</v>
      </c>
      <c r="F1596" s="25" t="s">
        <v>10</v>
      </c>
      <c r="G1596" s="38">
        <v>45883.0</v>
      </c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>
      <c r="A1597" s="40">
        <v>45882.0</v>
      </c>
      <c r="B1597" s="33" t="s">
        <v>975</v>
      </c>
      <c r="C1597" s="33" t="s">
        <v>138</v>
      </c>
      <c r="D1597" s="29">
        <v>4.0</v>
      </c>
      <c r="E1597" s="30">
        <v>4000.0</v>
      </c>
      <c r="F1597" s="25" t="s">
        <v>10</v>
      </c>
      <c r="G1597" s="38">
        <v>45884.0</v>
      </c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>
      <c r="A1598" s="40">
        <v>45882.0</v>
      </c>
      <c r="B1598" s="33" t="s">
        <v>976</v>
      </c>
      <c r="C1598" s="33" t="s">
        <v>9</v>
      </c>
      <c r="D1598" s="29">
        <v>1.0</v>
      </c>
      <c r="E1598" s="30">
        <v>2100.0</v>
      </c>
      <c r="F1598" s="25" t="s">
        <v>10</v>
      </c>
      <c r="G1598" s="25" t="s">
        <v>977</v>
      </c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>
      <c r="A1599" s="40">
        <v>45882.0</v>
      </c>
      <c r="B1599" s="33" t="s">
        <v>978</v>
      </c>
      <c r="C1599" s="33" t="s">
        <v>9</v>
      </c>
      <c r="D1599" s="29">
        <v>2.0</v>
      </c>
      <c r="E1599" s="30">
        <v>3200.0</v>
      </c>
      <c r="F1599" s="25" t="s">
        <v>10</v>
      </c>
      <c r="G1599" s="25" t="s">
        <v>977</v>
      </c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>
      <c r="A1600" s="30" t="s">
        <v>979</v>
      </c>
      <c r="B1600" s="33" t="s">
        <v>773</v>
      </c>
      <c r="C1600" s="33" t="s">
        <v>113</v>
      </c>
      <c r="D1600" s="29">
        <v>8.0</v>
      </c>
      <c r="E1600" s="30">
        <v>4080.0</v>
      </c>
      <c r="F1600" s="25" t="s">
        <v>10</v>
      </c>
      <c r="G1600" s="38">
        <v>45969.0</v>
      </c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>
      <c r="A1601" s="30" t="s">
        <v>979</v>
      </c>
      <c r="B1601" s="33" t="s">
        <v>470</v>
      </c>
      <c r="C1601" s="33" t="s">
        <v>113</v>
      </c>
      <c r="D1601" s="29">
        <v>8.0</v>
      </c>
      <c r="E1601" s="30">
        <v>4000.0</v>
      </c>
      <c r="F1601" s="25" t="s">
        <v>10</v>
      </c>
      <c r="G1601" s="38">
        <v>45969.0</v>
      </c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>
      <c r="A1602" s="30" t="s">
        <v>979</v>
      </c>
      <c r="B1602" s="33" t="s">
        <v>908</v>
      </c>
      <c r="C1602" s="33" t="s">
        <v>113</v>
      </c>
      <c r="D1602" s="29">
        <v>2.0</v>
      </c>
      <c r="E1602" s="30">
        <v>3000.0</v>
      </c>
      <c r="F1602" s="25" t="s">
        <v>10</v>
      </c>
      <c r="G1602" s="38">
        <v>45969.0</v>
      </c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>
      <c r="A1603" s="30" t="s">
        <v>979</v>
      </c>
      <c r="B1603" s="33" t="s">
        <v>980</v>
      </c>
      <c r="C1603" s="33" t="s">
        <v>113</v>
      </c>
      <c r="D1603" s="29">
        <v>2.0</v>
      </c>
      <c r="E1603" s="30">
        <v>2060.0</v>
      </c>
      <c r="F1603" s="25" t="s">
        <v>10</v>
      </c>
      <c r="G1603" s="38">
        <v>45969.0</v>
      </c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>
      <c r="A1604" s="30" t="s">
        <v>979</v>
      </c>
      <c r="B1604" s="33" t="s">
        <v>981</v>
      </c>
      <c r="C1604" s="33" t="s">
        <v>113</v>
      </c>
      <c r="D1604" s="29">
        <v>2.0</v>
      </c>
      <c r="E1604" s="30">
        <v>1500.0</v>
      </c>
      <c r="F1604" s="25" t="s">
        <v>10</v>
      </c>
      <c r="G1604" s="38">
        <v>45969.0</v>
      </c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>
      <c r="A1605" s="30" t="s">
        <v>977</v>
      </c>
      <c r="B1605" s="33" t="s">
        <v>87</v>
      </c>
      <c r="C1605" s="33" t="s">
        <v>143</v>
      </c>
      <c r="D1605" s="29">
        <v>2.0</v>
      </c>
      <c r="E1605" s="41">
        <v>1160.0</v>
      </c>
      <c r="F1605" s="25" t="s">
        <v>10</v>
      </c>
      <c r="G1605" s="26">
        <v>46018.0</v>
      </c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>
      <c r="A1606" s="30" t="s">
        <v>977</v>
      </c>
      <c r="B1606" s="33" t="s">
        <v>982</v>
      </c>
      <c r="C1606" s="33" t="s">
        <v>9</v>
      </c>
      <c r="D1606" s="29">
        <v>2.0</v>
      </c>
      <c r="E1606" s="30">
        <v>3400.0</v>
      </c>
      <c r="F1606" s="25" t="s">
        <v>10</v>
      </c>
      <c r="G1606" s="25" t="s">
        <v>983</v>
      </c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>
      <c r="A1607" s="30" t="s">
        <v>977</v>
      </c>
      <c r="B1607" s="33" t="s">
        <v>61</v>
      </c>
      <c r="C1607" s="33" t="s">
        <v>9</v>
      </c>
      <c r="D1607" s="29">
        <v>2.0</v>
      </c>
      <c r="E1607" s="30">
        <v>1160.0</v>
      </c>
      <c r="F1607" s="25" t="s">
        <v>10</v>
      </c>
      <c r="G1607" s="25" t="s">
        <v>983</v>
      </c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>
      <c r="A1608" s="30" t="s">
        <v>977</v>
      </c>
      <c r="B1608" s="33" t="s">
        <v>984</v>
      </c>
      <c r="C1608" s="33" t="s">
        <v>9</v>
      </c>
      <c r="D1608" s="29">
        <v>2.0</v>
      </c>
      <c r="E1608" s="30">
        <v>2300.0</v>
      </c>
      <c r="F1608" s="25" t="s">
        <v>10</v>
      </c>
      <c r="G1608" s="25" t="s">
        <v>983</v>
      </c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>
      <c r="A1609" s="30" t="s">
        <v>977</v>
      </c>
      <c r="B1609" s="33" t="s">
        <v>985</v>
      </c>
      <c r="C1609" s="33" t="s">
        <v>138</v>
      </c>
      <c r="D1609" s="29">
        <v>2.0</v>
      </c>
      <c r="E1609" s="30">
        <v>2000.0</v>
      </c>
      <c r="F1609" s="25" t="s">
        <v>10</v>
      </c>
      <c r="G1609" s="38">
        <v>45884.0</v>
      </c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>
      <c r="A1610" s="40">
        <v>45863.0</v>
      </c>
      <c r="B1610" s="33" t="s">
        <v>969</v>
      </c>
      <c r="C1610" s="33" t="s">
        <v>325</v>
      </c>
      <c r="D1610" s="29">
        <v>2.0</v>
      </c>
      <c r="E1610" s="30">
        <v>2500.0</v>
      </c>
      <c r="F1610" s="25" t="s">
        <v>10</v>
      </c>
      <c r="G1610" s="26">
        <v>45973.0</v>
      </c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>
      <c r="A1611" s="30" t="s">
        <v>983</v>
      </c>
      <c r="B1611" s="33" t="s">
        <v>986</v>
      </c>
      <c r="C1611" s="33" t="s">
        <v>325</v>
      </c>
      <c r="D1611" s="29">
        <v>2.0</v>
      </c>
      <c r="E1611" s="30">
        <v>3000.0</v>
      </c>
      <c r="F1611" s="25" t="s">
        <v>10</v>
      </c>
      <c r="G1611" s="26">
        <v>45973.0</v>
      </c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>
      <c r="A1612" s="30" t="s">
        <v>983</v>
      </c>
      <c r="B1612" s="33" t="s">
        <v>987</v>
      </c>
      <c r="C1612" s="33" t="s">
        <v>143</v>
      </c>
      <c r="D1612" s="29">
        <v>1.0</v>
      </c>
      <c r="E1612" s="30">
        <v>2000.0</v>
      </c>
      <c r="F1612" s="25" t="s">
        <v>10</v>
      </c>
      <c r="G1612" s="38">
        <v>45892.0</v>
      </c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>
      <c r="A1613" s="30" t="s">
        <v>983</v>
      </c>
      <c r="B1613" s="33" t="s">
        <v>988</v>
      </c>
      <c r="C1613" s="33" t="s">
        <v>9</v>
      </c>
      <c r="D1613" s="29">
        <v>4.0</v>
      </c>
      <c r="E1613" s="30">
        <v>1920.0</v>
      </c>
      <c r="F1613" s="25" t="s">
        <v>10</v>
      </c>
      <c r="G1613" s="25" t="s">
        <v>983</v>
      </c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>
      <c r="A1614" s="30" t="s">
        <v>983</v>
      </c>
      <c r="B1614" s="33" t="s">
        <v>989</v>
      </c>
      <c r="C1614" s="33" t="s">
        <v>133</v>
      </c>
      <c r="D1614" s="29">
        <v>2.0</v>
      </c>
      <c r="E1614" s="41">
        <v>3000.0</v>
      </c>
      <c r="F1614" s="25" t="s">
        <v>10</v>
      </c>
      <c r="G1614" s="38">
        <v>45930.0</v>
      </c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>
      <c r="A1615" s="40">
        <v>45887.0</v>
      </c>
      <c r="B1615" s="33" t="s">
        <v>990</v>
      </c>
      <c r="C1615" s="33" t="s">
        <v>143</v>
      </c>
      <c r="D1615" s="29">
        <v>1.0</v>
      </c>
      <c r="E1615" s="30">
        <v>2100.0</v>
      </c>
      <c r="F1615" s="25" t="s">
        <v>10</v>
      </c>
      <c r="G1615" s="38">
        <v>45892.0</v>
      </c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>
      <c r="A1616" s="40">
        <v>45887.0</v>
      </c>
      <c r="B1616" s="33" t="s">
        <v>562</v>
      </c>
      <c r="C1616" s="33" t="s">
        <v>133</v>
      </c>
      <c r="D1616" s="29">
        <v>1.0</v>
      </c>
      <c r="E1616" s="41">
        <v>1380.0</v>
      </c>
      <c r="F1616" s="25" t="s">
        <v>10</v>
      </c>
      <c r="G1616" s="38">
        <v>45930.0</v>
      </c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>
      <c r="A1617" s="40">
        <v>45889.0</v>
      </c>
      <c r="B1617" s="33" t="s">
        <v>991</v>
      </c>
      <c r="C1617" s="33" t="s">
        <v>9</v>
      </c>
      <c r="D1617" s="29">
        <v>1.0</v>
      </c>
      <c r="E1617" s="30">
        <v>2200.0</v>
      </c>
      <c r="F1617" s="25" t="s">
        <v>10</v>
      </c>
      <c r="G1617" s="38">
        <v>45889.0</v>
      </c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>
      <c r="A1618" s="40">
        <v>45889.0</v>
      </c>
      <c r="B1618" s="33" t="s">
        <v>992</v>
      </c>
      <c r="C1618" s="33" t="s">
        <v>143</v>
      </c>
      <c r="D1618" s="29">
        <v>2.0</v>
      </c>
      <c r="E1618" s="41">
        <v>4200.0</v>
      </c>
      <c r="F1618" s="25" t="s">
        <v>10</v>
      </c>
      <c r="G1618" s="26">
        <v>46018.0</v>
      </c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>
      <c r="A1619" s="40">
        <v>45890.0</v>
      </c>
      <c r="B1619" s="33" t="s">
        <v>902</v>
      </c>
      <c r="C1619" s="33" t="s">
        <v>9</v>
      </c>
      <c r="D1619" s="29">
        <v>4.0</v>
      </c>
      <c r="E1619" s="30">
        <v>5200.0</v>
      </c>
      <c r="F1619" s="25" t="s">
        <v>10</v>
      </c>
      <c r="G1619" s="38">
        <v>45892.0</v>
      </c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>
      <c r="A1620" s="40">
        <v>45890.0</v>
      </c>
      <c r="B1620" s="33" t="s">
        <v>330</v>
      </c>
      <c r="C1620" s="33" t="s">
        <v>9</v>
      </c>
      <c r="D1620" s="29">
        <v>1.0</v>
      </c>
      <c r="E1620" s="30">
        <v>850.0</v>
      </c>
      <c r="F1620" s="25" t="s">
        <v>10</v>
      </c>
      <c r="G1620" s="38">
        <v>45892.0</v>
      </c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>
      <c r="A1621" s="40">
        <v>45891.0</v>
      </c>
      <c r="B1621" s="33" t="s">
        <v>24</v>
      </c>
      <c r="C1621" s="33" t="s">
        <v>9</v>
      </c>
      <c r="D1621" s="29">
        <v>2.0</v>
      </c>
      <c r="E1621" s="30">
        <v>2300.0</v>
      </c>
      <c r="F1621" s="25" t="s">
        <v>10</v>
      </c>
      <c r="G1621" s="38">
        <v>45892.0</v>
      </c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>
      <c r="A1622" s="40">
        <v>45891.0</v>
      </c>
      <c r="B1622" s="33" t="s">
        <v>993</v>
      </c>
      <c r="C1622" s="33" t="s">
        <v>138</v>
      </c>
      <c r="D1622" s="29">
        <v>2.0</v>
      </c>
      <c r="E1622" s="30">
        <v>3500.0</v>
      </c>
      <c r="F1622" s="25" t="s">
        <v>10</v>
      </c>
      <c r="G1622" s="38">
        <v>45891.0</v>
      </c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>
      <c r="A1623" s="40">
        <v>45891.0</v>
      </c>
      <c r="B1623" s="33" t="s">
        <v>310</v>
      </c>
      <c r="C1623" s="33" t="s">
        <v>138</v>
      </c>
      <c r="D1623" s="29">
        <v>1.0</v>
      </c>
      <c r="E1623" s="30">
        <v>800.0</v>
      </c>
      <c r="F1623" s="25" t="s">
        <v>10</v>
      </c>
      <c r="G1623" s="38">
        <v>45891.0</v>
      </c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>
      <c r="A1624" s="40">
        <v>45892.0</v>
      </c>
      <c r="B1624" s="33" t="s">
        <v>994</v>
      </c>
      <c r="C1624" s="33" t="s">
        <v>325</v>
      </c>
      <c r="D1624" s="29">
        <v>1.0</v>
      </c>
      <c r="E1624" s="30">
        <v>1900.0</v>
      </c>
      <c r="F1624" s="25" t="s">
        <v>10</v>
      </c>
      <c r="G1624" s="38">
        <v>45688.0</v>
      </c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>
      <c r="A1625" s="40">
        <v>45892.0</v>
      </c>
      <c r="B1625" s="33" t="s">
        <v>214</v>
      </c>
      <c r="C1625" s="33" t="s">
        <v>9</v>
      </c>
      <c r="D1625" s="29">
        <v>1.0</v>
      </c>
      <c r="E1625" s="30">
        <v>1350.0</v>
      </c>
      <c r="F1625" s="25" t="s">
        <v>10</v>
      </c>
      <c r="G1625" s="38">
        <v>45894.0</v>
      </c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>
      <c r="A1626" s="40">
        <v>45892.0</v>
      </c>
      <c r="B1626" s="33" t="s">
        <v>358</v>
      </c>
      <c r="C1626" s="33" t="s">
        <v>133</v>
      </c>
      <c r="D1626" s="29">
        <v>2.0</v>
      </c>
      <c r="E1626" s="41">
        <v>3400.0</v>
      </c>
      <c r="F1626" s="25" t="s">
        <v>10</v>
      </c>
      <c r="G1626" s="38">
        <v>45930.0</v>
      </c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>
      <c r="A1627" s="40">
        <v>45894.0</v>
      </c>
      <c r="B1627" s="33" t="s">
        <v>399</v>
      </c>
      <c r="C1627" s="33" t="s">
        <v>143</v>
      </c>
      <c r="D1627" s="29">
        <v>4.0</v>
      </c>
      <c r="E1627" s="41">
        <v>6800.0</v>
      </c>
      <c r="F1627" s="25" t="s">
        <v>10</v>
      </c>
      <c r="G1627" s="26">
        <v>46018.0</v>
      </c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>
      <c r="A1628" s="40">
        <v>45894.0</v>
      </c>
      <c r="B1628" s="33" t="s">
        <v>995</v>
      </c>
      <c r="C1628" s="33" t="s">
        <v>138</v>
      </c>
      <c r="D1628" s="29">
        <v>2.0</v>
      </c>
      <c r="E1628" s="30">
        <v>2790.0</v>
      </c>
      <c r="F1628" s="25" t="s">
        <v>10</v>
      </c>
      <c r="G1628" s="38">
        <v>45894.0</v>
      </c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>
      <c r="A1629" s="40">
        <v>45894.0</v>
      </c>
      <c r="B1629" s="33" t="s">
        <v>996</v>
      </c>
      <c r="C1629" s="33" t="s">
        <v>9</v>
      </c>
      <c r="D1629" s="29">
        <v>2.0</v>
      </c>
      <c r="E1629" s="30">
        <v>2600.0</v>
      </c>
      <c r="F1629" s="25" t="s">
        <v>10</v>
      </c>
      <c r="G1629" s="38">
        <v>45900.0</v>
      </c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>
      <c r="A1630" s="40">
        <v>45894.0</v>
      </c>
      <c r="B1630" s="33" t="s">
        <v>44</v>
      </c>
      <c r="C1630" s="33" t="s">
        <v>138</v>
      </c>
      <c r="D1630" s="29">
        <v>2.0</v>
      </c>
      <c r="E1630" s="30">
        <v>2300.0</v>
      </c>
      <c r="F1630" s="25" t="s">
        <v>10</v>
      </c>
      <c r="G1630" s="38">
        <v>45894.0</v>
      </c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>
      <c r="A1631" s="40">
        <v>45895.0</v>
      </c>
      <c r="B1631" s="33" t="s">
        <v>997</v>
      </c>
      <c r="C1631" s="33" t="s">
        <v>143</v>
      </c>
      <c r="D1631" s="29">
        <v>2.0</v>
      </c>
      <c r="E1631" s="41">
        <v>3200.0</v>
      </c>
      <c r="F1631" s="25" t="s">
        <v>10</v>
      </c>
      <c r="G1631" s="26">
        <v>46018.0</v>
      </c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>
      <c r="A1632" s="40">
        <v>45895.0</v>
      </c>
      <c r="B1632" s="33" t="s">
        <v>709</v>
      </c>
      <c r="C1632" s="33" t="s">
        <v>143</v>
      </c>
      <c r="D1632" s="29">
        <v>1.0</v>
      </c>
      <c r="E1632" s="41">
        <v>1250.0</v>
      </c>
      <c r="F1632" s="25" t="s">
        <v>10</v>
      </c>
      <c r="G1632" s="26">
        <v>46018.0</v>
      </c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>
      <c r="A1633" s="40">
        <v>45895.0</v>
      </c>
      <c r="B1633" s="33" t="s">
        <v>998</v>
      </c>
      <c r="C1633" s="33" t="s">
        <v>143</v>
      </c>
      <c r="D1633" s="29">
        <v>1.0</v>
      </c>
      <c r="E1633" s="41">
        <v>750.0</v>
      </c>
      <c r="F1633" s="25" t="s">
        <v>10</v>
      </c>
      <c r="G1633" s="26">
        <v>46018.0</v>
      </c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>
      <c r="A1634" s="40">
        <v>45895.0</v>
      </c>
      <c r="B1634" s="33" t="s">
        <v>999</v>
      </c>
      <c r="C1634" s="33" t="s">
        <v>133</v>
      </c>
      <c r="D1634" s="29">
        <v>2.0</v>
      </c>
      <c r="E1634" s="41">
        <v>2360.0</v>
      </c>
      <c r="F1634" s="25" t="s">
        <v>10</v>
      </c>
      <c r="G1634" s="38">
        <v>45930.0</v>
      </c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>
      <c r="A1635" s="40">
        <v>45895.0</v>
      </c>
      <c r="B1635" s="33" t="s">
        <v>1000</v>
      </c>
      <c r="C1635" s="33" t="s">
        <v>143</v>
      </c>
      <c r="D1635" s="29">
        <v>4.0</v>
      </c>
      <c r="E1635" s="41">
        <v>3000.0</v>
      </c>
      <c r="F1635" s="25" t="s">
        <v>10</v>
      </c>
      <c r="G1635" s="26">
        <v>46018.0</v>
      </c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>
      <c r="A1636" s="40">
        <v>45895.0</v>
      </c>
      <c r="B1636" s="33" t="s">
        <v>493</v>
      </c>
      <c r="C1636" s="33" t="s">
        <v>711</v>
      </c>
      <c r="D1636" s="29">
        <v>2.0</v>
      </c>
      <c r="E1636" s="30">
        <v>2400.0</v>
      </c>
      <c r="F1636" s="25" t="s">
        <v>10</v>
      </c>
      <c r="G1636" s="38">
        <v>45895.0</v>
      </c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>
      <c r="A1637" s="40">
        <v>45896.0</v>
      </c>
      <c r="B1637" s="33" t="s">
        <v>999</v>
      </c>
      <c r="C1637" s="33" t="s">
        <v>133</v>
      </c>
      <c r="D1637" s="29">
        <v>4.0</v>
      </c>
      <c r="E1637" s="41">
        <v>4720.0</v>
      </c>
      <c r="F1637" s="25" t="s">
        <v>10</v>
      </c>
      <c r="G1637" s="38">
        <v>45930.0</v>
      </c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>
      <c r="A1638" s="40">
        <v>45896.0</v>
      </c>
      <c r="B1638" s="33" t="s">
        <v>300</v>
      </c>
      <c r="C1638" s="33" t="s">
        <v>138</v>
      </c>
      <c r="D1638" s="29">
        <v>2.0</v>
      </c>
      <c r="E1638" s="30">
        <v>1500.0</v>
      </c>
      <c r="F1638" s="25" t="s">
        <v>10</v>
      </c>
      <c r="G1638" s="38">
        <v>45896.0</v>
      </c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>
      <c r="A1639" s="40">
        <v>45896.0</v>
      </c>
      <c r="B1639" s="33" t="s">
        <v>1001</v>
      </c>
      <c r="C1639" s="33" t="s">
        <v>154</v>
      </c>
      <c r="D1639" s="29">
        <v>2.0</v>
      </c>
      <c r="E1639" s="30">
        <v>2577.0</v>
      </c>
      <c r="F1639" s="25" t="s">
        <v>10</v>
      </c>
      <c r="G1639" s="38">
        <v>45896.0</v>
      </c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>
      <c r="A1640" s="40">
        <v>45897.0</v>
      </c>
      <c r="B1640" s="33" t="s">
        <v>589</v>
      </c>
      <c r="C1640" s="33" t="s">
        <v>159</v>
      </c>
      <c r="D1640" s="29">
        <v>2.0</v>
      </c>
      <c r="E1640" s="30">
        <v>2300.0</v>
      </c>
      <c r="F1640" s="25" t="s">
        <v>10</v>
      </c>
      <c r="G1640" s="38">
        <v>45898.0</v>
      </c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>
      <c r="A1641" s="40">
        <v>45897.0</v>
      </c>
      <c r="B1641" s="33" t="s">
        <v>51</v>
      </c>
      <c r="C1641" s="33" t="s">
        <v>133</v>
      </c>
      <c r="D1641" s="29">
        <v>1.0</v>
      </c>
      <c r="E1641" s="41">
        <v>1080.0</v>
      </c>
      <c r="F1641" s="25" t="s">
        <v>10</v>
      </c>
      <c r="G1641" s="38">
        <v>45930.0</v>
      </c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>
      <c r="A1642" s="40">
        <v>45898.0</v>
      </c>
      <c r="B1642" s="33" t="s">
        <v>800</v>
      </c>
      <c r="C1642" s="33" t="s">
        <v>138</v>
      </c>
      <c r="D1642" s="29">
        <v>1.0</v>
      </c>
      <c r="E1642" s="30">
        <v>950.0</v>
      </c>
      <c r="F1642" s="25" t="s">
        <v>10</v>
      </c>
      <c r="G1642" s="38">
        <v>45898.0</v>
      </c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>
      <c r="A1643" s="40">
        <v>45899.0</v>
      </c>
      <c r="B1643" s="33" t="s">
        <v>937</v>
      </c>
      <c r="C1643" s="33" t="s">
        <v>9</v>
      </c>
      <c r="D1643" s="29">
        <v>2.0</v>
      </c>
      <c r="E1643" s="30">
        <v>2600.0</v>
      </c>
      <c r="F1643" s="25" t="s">
        <v>10</v>
      </c>
      <c r="G1643" s="38">
        <v>45900.0</v>
      </c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>
      <c r="A1644" s="40">
        <v>45899.0</v>
      </c>
      <c r="B1644" s="33" t="s">
        <v>1002</v>
      </c>
      <c r="C1644" s="33" t="s">
        <v>138</v>
      </c>
      <c r="D1644" s="29">
        <v>2.0</v>
      </c>
      <c r="E1644" s="30">
        <v>2140.0</v>
      </c>
      <c r="F1644" s="25" t="s">
        <v>10</v>
      </c>
      <c r="G1644" s="38">
        <v>45899.0</v>
      </c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>
      <c r="A1645" s="40">
        <v>45900.0</v>
      </c>
      <c r="B1645" s="33" t="s">
        <v>35</v>
      </c>
      <c r="C1645" s="33" t="s">
        <v>711</v>
      </c>
      <c r="D1645" s="29">
        <v>2.0</v>
      </c>
      <c r="E1645" s="30">
        <v>2400.0</v>
      </c>
      <c r="F1645" s="25" t="s">
        <v>10</v>
      </c>
      <c r="G1645" s="38">
        <v>45900.0</v>
      </c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>
      <c r="A1646" s="40">
        <v>45900.0</v>
      </c>
      <c r="B1646" s="33" t="s">
        <v>19</v>
      </c>
      <c r="C1646" s="33" t="s">
        <v>9</v>
      </c>
      <c r="D1646" s="29">
        <v>4.0</v>
      </c>
      <c r="E1646" s="30">
        <v>5400.0</v>
      </c>
      <c r="F1646" s="25" t="s">
        <v>10</v>
      </c>
      <c r="G1646" s="38">
        <v>45900.0</v>
      </c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>
      <c r="A1647" s="40">
        <v>45900.0</v>
      </c>
      <c r="B1647" s="33" t="s">
        <v>621</v>
      </c>
      <c r="C1647" s="33" t="s">
        <v>9</v>
      </c>
      <c r="D1647" s="29">
        <v>2.0</v>
      </c>
      <c r="E1647" s="30">
        <v>2600.0</v>
      </c>
      <c r="F1647" s="25" t="s">
        <v>10</v>
      </c>
      <c r="G1647" s="38">
        <v>45902.0</v>
      </c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>
      <c r="A1648" s="40">
        <v>45901.0</v>
      </c>
      <c r="B1648" s="33" t="s">
        <v>830</v>
      </c>
      <c r="C1648" s="33" t="s">
        <v>711</v>
      </c>
      <c r="D1648" s="29">
        <v>4.0</v>
      </c>
      <c r="E1648" s="30">
        <v>5200.0</v>
      </c>
      <c r="F1648" s="25" t="s">
        <v>10</v>
      </c>
      <c r="G1648" s="38">
        <v>45901.0</v>
      </c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>
      <c r="A1649" s="40">
        <v>45901.0</v>
      </c>
      <c r="B1649" s="33" t="s">
        <v>1003</v>
      </c>
      <c r="C1649" s="33" t="s">
        <v>128</v>
      </c>
      <c r="D1649" s="29">
        <v>3.0</v>
      </c>
      <c r="E1649" s="30">
        <v>2625.0</v>
      </c>
      <c r="F1649" s="25" t="s">
        <v>10</v>
      </c>
      <c r="G1649" s="38">
        <v>45901.0</v>
      </c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>
      <c r="A1650" s="40">
        <v>45902.0</v>
      </c>
      <c r="B1650" s="33" t="s">
        <v>894</v>
      </c>
      <c r="C1650" s="33" t="s">
        <v>138</v>
      </c>
      <c r="D1650" s="29">
        <v>2.0</v>
      </c>
      <c r="E1650" s="30">
        <v>1540.0</v>
      </c>
      <c r="F1650" s="25" t="s">
        <v>10</v>
      </c>
      <c r="G1650" s="38">
        <v>45902.0</v>
      </c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>
      <c r="A1651" s="40">
        <v>45902.0</v>
      </c>
      <c r="B1651" s="33" t="s">
        <v>1004</v>
      </c>
      <c r="C1651" s="33" t="s">
        <v>143</v>
      </c>
      <c r="D1651" s="29">
        <v>1.0</v>
      </c>
      <c r="E1651" s="39">
        <v>2900.0</v>
      </c>
      <c r="F1651" s="25" t="s">
        <v>10</v>
      </c>
      <c r="G1651" s="38">
        <v>46035.0</v>
      </c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>
      <c r="A1652" s="40">
        <v>45902.0</v>
      </c>
      <c r="B1652" s="33" t="s">
        <v>1005</v>
      </c>
      <c r="C1652" s="33" t="s">
        <v>9</v>
      </c>
      <c r="D1652" s="29">
        <v>2.0</v>
      </c>
      <c r="E1652" s="30">
        <v>2900.0</v>
      </c>
      <c r="F1652" s="25" t="s">
        <v>10</v>
      </c>
      <c r="G1652" s="38">
        <v>45902.0</v>
      </c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>
      <c r="A1653" s="40">
        <v>45902.0</v>
      </c>
      <c r="B1653" s="33" t="s">
        <v>1006</v>
      </c>
      <c r="C1653" s="33" t="s">
        <v>138</v>
      </c>
      <c r="D1653" s="29">
        <v>4.0</v>
      </c>
      <c r="E1653" s="30">
        <v>3500.0</v>
      </c>
      <c r="F1653" s="25" t="s">
        <v>10</v>
      </c>
      <c r="G1653" s="38">
        <v>45903.0</v>
      </c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>
      <c r="A1654" s="40">
        <v>45902.0</v>
      </c>
      <c r="B1654" s="33" t="s">
        <v>1007</v>
      </c>
      <c r="C1654" s="33" t="s">
        <v>138</v>
      </c>
      <c r="D1654" s="29">
        <v>2.0</v>
      </c>
      <c r="E1654" s="30">
        <v>1260.0</v>
      </c>
      <c r="F1654" s="25" t="s">
        <v>10</v>
      </c>
      <c r="G1654" s="38">
        <v>45903.0</v>
      </c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>
      <c r="A1655" s="40">
        <v>45902.0</v>
      </c>
      <c r="B1655" s="33" t="s">
        <v>344</v>
      </c>
      <c r="C1655" s="33" t="s">
        <v>138</v>
      </c>
      <c r="D1655" s="29">
        <v>2.0</v>
      </c>
      <c r="E1655" s="30">
        <v>1230.0</v>
      </c>
      <c r="F1655" s="25" t="s">
        <v>10</v>
      </c>
      <c r="G1655" s="38">
        <v>45903.0</v>
      </c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>
      <c r="A1656" s="40">
        <v>45902.0</v>
      </c>
      <c r="B1656" s="33" t="s">
        <v>575</v>
      </c>
      <c r="C1656" s="33" t="s">
        <v>9</v>
      </c>
      <c r="D1656" s="29">
        <v>4.0</v>
      </c>
      <c r="E1656" s="30">
        <v>4600.0</v>
      </c>
      <c r="F1656" s="25" t="s">
        <v>10</v>
      </c>
      <c r="G1656" s="38">
        <v>45906.0</v>
      </c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>
      <c r="A1657" s="40">
        <v>45903.0</v>
      </c>
      <c r="B1657" s="33" t="s">
        <v>1008</v>
      </c>
      <c r="C1657" s="33" t="s">
        <v>154</v>
      </c>
      <c r="D1657" s="29">
        <v>1.0</v>
      </c>
      <c r="E1657" s="30">
        <v>1930.0</v>
      </c>
      <c r="F1657" s="25" t="s">
        <v>10</v>
      </c>
      <c r="G1657" s="38">
        <v>45903.0</v>
      </c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>
      <c r="A1658" s="40">
        <v>45903.0</v>
      </c>
      <c r="B1658" s="33" t="s">
        <v>529</v>
      </c>
      <c r="C1658" s="33" t="s">
        <v>143</v>
      </c>
      <c r="D1658" s="29">
        <v>2.0</v>
      </c>
      <c r="E1658" s="39">
        <v>1240.0</v>
      </c>
      <c r="F1658" s="25" t="s">
        <v>10</v>
      </c>
      <c r="G1658" s="38">
        <v>46035.0</v>
      </c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>
      <c r="A1659" s="40">
        <v>45903.0</v>
      </c>
      <c r="B1659" s="33" t="s">
        <v>682</v>
      </c>
      <c r="C1659" s="33" t="s">
        <v>133</v>
      </c>
      <c r="D1659" s="29">
        <v>1.0</v>
      </c>
      <c r="E1659" s="41">
        <v>2050.0</v>
      </c>
      <c r="F1659" s="25" t="s">
        <v>10</v>
      </c>
      <c r="G1659" s="38">
        <v>45930.0</v>
      </c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>
      <c r="A1660" s="40">
        <v>45904.0</v>
      </c>
      <c r="B1660" s="33" t="s">
        <v>42</v>
      </c>
      <c r="C1660" s="33" t="s">
        <v>143</v>
      </c>
      <c r="D1660" s="29">
        <v>2.0</v>
      </c>
      <c r="E1660" s="39">
        <v>1260.0</v>
      </c>
      <c r="F1660" s="25" t="s">
        <v>10</v>
      </c>
      <c r="G1660" s="38">
        <v>46035.0</v>
      </c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>
      <c r="A1661" s="40">
        <v>45906.0</v>
      </c>
      <c r="B1661" s="33" t="s">
        <v>1009</v>
      </c>
      <c r="C1661" s="33" t="s">
        <v>138</v>
      </c>
      <c r="D1661" s="29">
        <v>5.0</v>
      </c>
      <c r="E1661" s="30">
        <v>1500.0</v>
      </c>
      <c r="F1661" s="25" t="s">
        <v>10</v>
      </c>
      <c r="G1661" s="38">
        <v>45906.0</v>
      </c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>
      <c r="A1662" s="40">
        <v>45906.0</v>
      </c>
      <c r="B1662" s="33" t="s">
        <v>1010</v>
      </c>
      <c r="C1662" s="33" t="s">
        <v>9</v>
      </c>
      <c r="D1662" s="29">
        <v>1.0</v>
      </c>
      <c r="E1662" s="30">
        <v>800.0</v>
      </c>
      <c r="F1662" s="25" t="s">
        <v>10</v>
      </c>
      <c r="G1662" s="38">
        <v>45906.0</v>
      </c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>
      <c r="A1663" s="40">
        <v>45908.0</v>
      </c>
      <c r="B1663" s="33" t="s">
        <v>688</v>
      </c>
      <c r="C1663" s="33" t="s">
        <v>133</v>
      </c>
      <c r="D1663" s="29">
        <v>1.0</v>
      </c>
      <c r="E1663" s="41">
        <v>1050.0</v>
      </c>
      <c r="F1663" s="25" t="s">
        <v>10</v>
      </c>
      <c r="G1663" s="38">
        <v>45930.0</v>
      </c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>
      <c r="A1664" s="40">
        <v>45908.0</v>
      </c>
      <c r="B1664" s="33" t="s">
        <v>1011</v>
      </c>
      <c r="C1664" s="33" t="s">
        <v>711</v>
      </c>
      <c r="D1664" s="29">
        <v>2.0</v>
      </c>
      <c r="E1664" s="30">
        <v>1100.0</v>
      </c>
      <c r="F1664" s="25" t="s">
        <v>10</v>
      </c>
      <c r="G1664" s="38">
        <v>45908.0</v>
      </c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>
      <c r="A1665" s="40">
        <v>45908.0</v>
      </c>
      <c r="B1665" s="33" t="s">
        <v>477</v>
      </c>
      <c r="C1665" s="33" t="s">
        <v>154</v>
      </c>
      <c r="D1665" s="29">
        <v>1.0</v>
      </c>
      <c r="E1665" s="30">
        <v>830.0</v>
      </c>
      <c r="F1665" s="25" t="s">
        <v>10</v>
      </c>
      <c r="G1665" s="38">
        <v>45908.0</v>
      </c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>
      <c r="A1666" s="40">
        <v>45908.0</v>
      </c>
      <c r="B1666" s="33" t="s">
        <v>78</v>
      </c>
      <c r="C1666" s="33" t="s">
        <v>138</v>
      </c>
      <c r="D1666" s="29">
        <v>2.0</v>
      </c>
      <c r="E1666" s="30">
        <v>1820.0</v>
      </c>
      <c r="F1666" s="25" t="s">
        <v>10</v>
      </c>
      <c r="G1666" s="38">
        <v>45908.0</v>
      </c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>
      <c r="A1667" s="40">
        <v>45908.0</v>
      </c>
      <c r="B1667" s="33" t="s">
        <v>1012</v>
      </c>
      <c r="C1667" s="33" t="s">
        <v>143</v>
      </c>
      <c r="D1667" s="29">
        <v>1.0</v>
      </c>
      <c r="E1667" s="39">
        <v>1900.0</v>
      </c>
      <c r="F1667" s="25" t="s">
        <v>10</v>
      </c>
      <c r="G1667" s="38">
        <v>46035.0</v>
      </c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>
      <c r="A1668" s="40">
        <v>45908.0</v>
      </c>
      <c r="B1668" s="33" t="s">
        <v>16</v>
      </c>
      <c r="C1668" s="33" t="s">
        <v>711</v>
      </c>
      <c r="D1668" s="29">
        <v>2.0</v>
      </c>
      <c r="E1668" s="30">
        <v>2400.0</v>
      </c>
      <c r="F1668" s="25" t="s">
        <v>10</v>
      </c>
      <c r="G1668" s="38">
        <v>45908.0</v>
      </c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>
      <c r="A1669" s="40">
        <v>45908.0</v>
      </c>
      <c r="B1669" s="33" t="s">
        <v>1013</v>
      </c>
      <c r="C1669" s="33" t="s">
        <v>126</v>
      </c>
      <c r="D1669" s="29">
        <v>4.0</v>
      </c>
      <c r="E1669" s="30">
        <v>4680.0</v>
      </c>
      <c r="F1669" s="25" t="s">
        <v>10</v>
      </c>
      <c r="G1669" s="38">
        <v>46034.0</v>
      </c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>
      <c r="A1670" s="40">
        <v>45908.0</v>
      </c>
      <c r="B1670" s="33" t="s">
        <v>789</v>
      </c>
      <c r="C1670" s="33" t="s">
        <v>133</v>
      </c>
      <c r="D1670" s="29">
        <v>1.0</v>
      </c>
      <c r="E1670" s="39">
        <v>1080.0</v>
      </c>
      <c r="F1670" s="25" t="s">
        <v>10</v>
      </c>
      <c r="G1670" s="38">
        <v>45964.0</v>
      </c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>
      <c r="A1671" s="40">
        <v>45909.0</v>
      </c>
      <c r="B1671" s="33" t="s">
        <v>653</v>
      </c>
      <c r="C1671" s="33" t="s">
        <v>9</v>
      </c>
      <c r="D1671" s="29">
        <v>2.0</v>
      </c>
      <c r="E1671" s="30">
        <v>1040.0</v>
      </c>
      <c r="F1671" s="25" t="s">
        <v>10</v>
      </c>
      <c r="G1671" s="38">
        <v>45909.0</v>
      </c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>
      <c r="A1672" s="40">
        <v>45909.0</v>
      </c>
      <c r="B1672" s="33" t="s">
        <v>1014</v>
      </c>
      <c r="C1672" s="33" t="s">
        <v>138</v>
      </c>
      <c r="D1672" s="29">
        <v>4.0</v>
      </c>
      <c r="E1672" s="30">
        <v>2360.0</v>
      </c>
      <c r="F1672" s="25" t="s">
        <v>10</v>
      </c>
      <c r="G1672" s="38">
        <v>45909.0</v>
      </c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>
      <c r="A1673" s="40">
        <v>45909.0</v>
      </c>
      <c r="B1673" s="33" t="s">
        <v>1015</v>
      </c>
      <c r="C1673" s="33" t="s">
        <v>133</v>
      </c>
      <c r="D1673" s="29">
        <v>2.0</v>
      </c>
      <c r="E1673" s="39">
        <v>3000.0</v>
      </c>
      <c r="F1673" s="25" t="s">
        <v>10</v>
      </c>
      <c r="G1673" s="38">
        <v>45964.0</v>
      </c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>
      <c r="A1674" s="40">
        <v>45909.0</v>
      </c>
      <c r="B1674" s="33" t="s">
        <v>901</v>
      </c>
      <c r="C1674" s="33" t="s">
        <v>138</v>
      </c>
      <c r="D1674" s="29">
        <v>2.0</v>
      </c>
      <c r="E1674" s="30">
        <v>1670.0</v>
      </c>
      <c r="F1674" s="25" t="s">
        <v>10</v>
      </c>
      <c r="G1674" s="38">
        <v>45909.0</v>
      </c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>
      <c r="A1675" s="40">
        <v>45909.0</v>
      </c>
      <c r="B1675" s="33" t="s">
        <v>1016</v>
      </c>
      <c r="C1675" s="33" t="s">
        <v>138</v>
      </c>
      <c r="D1675" s="29">
        <v>2.0</v>
      </c>
      <c r="E1675" s="30">
        <v>3100.0</v>
      </c>
      <c r="F1675" s="25" t="s">
        <v>10</v>
      </c>
      <c r="G1675" s="38">
        <v>45909.0</v>
      </c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>
      <c r="A1676" s="40">
        <v>45909.0</v>
      </c>
      <c r="B1676" s="33" t="s">
        <v>1017</v>
      </c>
      <c r="C1676" s="33" t="s">
        <v>138</v>
      </c>
      <c r="D1676" s="29">
        <v>2.0</v>
      </c>
      <c r="E1676" s="30">
        <v>3600.0</v>
      </c>
      <c r="F1676" s="25" t="s">
        <v>10</v>
      </c>
      <c r="G1676" s="38">
        <v>45909.0</v>
      </c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>
      <c r="A1677" s="40">
        <v>45909.0</v>
      </c>
      <c r="B1677" s="33" t="s">
        <v>759</v>
      </c>
      <c r="C1677" s="33" t="s">
        <v>9</v>
      </c>
      <c r="D1677" s="29">
        <v>1.0</v>
      </c>
      <c r="E1677" s="30">
        <v>1880.0</v>
      </c>
      <c r="F1677" s="25" t="s">
        <v>10</v>
      </c>
      <c r="G1677" s="38">
        <v>45909.0</v>
      </c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>
      <c r="A1678" s="40">
        <v>45910.0</v>
      </c>
      <c r="B1678" s="33" t="s">
        <v>840</v>
      </c>
      <c r="C1678" s="33" t="s">
        <v>133</v>
      </c>
      <c r="D1678" s="29">
        <v>1.0</v>
      </c>
      <c r="E1678" s="39">
        <v>650.0</v>
      </c>
      <c r="F1678" s="25" t="s">
        <v>10</v>
      </c>
      <c r="G1678" s="38">
        <v>45964.0</v>
      </c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>
      <c r="A1679" s="40">
        <v>45910.0</v>
      </c>
      <c r="B1679" s="33" t="s">
        <v>37</v>
      </c>
      <c r="C1679" s="33" t="s">
        <v>133</v>
      </c>
      <c r="D1679" s="29">
        <v>4.0</v>
      </c>
      <c r="E1679" s="39">
        <v>2600.0</v>
      </c>
      <c r="F1679" s="25" t="s">
        <v>10</v>
      </c>
      <c r="G1679" s="38">
        <v>45964.0</v>
      </c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>
      <c r="A1680" s="40">
        <v>45910.0</v>
      </c>
      <c r="B1680" s="33" t="s">
        <v>586</v>
      </c>
      <c r="C1680" s="33" t="s">
        <v>443</v>
      </c>
      <c r="D1680" s="29">
        <v>2.0</v>
      </c>
      <c r="E1680" s="30">
        <v>1000.0</v>
      </c>
      <c r="F1680" s="25" t="s">
        <v>10</v>
      </c>
      <c r="G1680" s="38">
        <v>45910.0</v>
      </c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>
      <c r="A1681" s="40">
        <v>45910.0</v>
      </c>
      <c r="B1681" s="33" t="s">
        <v>1018</v>
      </c>
      <c r="C1681" s="33" t="s">
        <v>133</v>
      </c>
      <c r="D1681" s="29">
        <v>2.0</v>
      </c>
      <c r="E1681" s="39">
        <v>2940.0</v>
      </c>
      <c r="F1681" s="25" t="s">
        <v>10</v>
      </c>
      <c r="G1681" s="38">
        <v>45964.0</v>
      </c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>
      <c r="A1682" s="40">
        <v>45911.0</v>
      </c>
      <c r="B1682" s="33" t="s">
        <v>1019</v>
      </c>
      <c r="C1682" s="33" t="s">
        <v>138</v>
      </c>
      <c r="D1682" s="29">
        <v>4.0</v>
      </c>
      <c r="E1682" s="30">
        <v>5600.0</v>
      </c>
      <c r="F1682" s="25" t="s">
        <v>10</v>
      </c>
      <c r="G1682" s="38">
        <v>45911.0</v>
      </c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>
      <c r="A1683" s="40">
        <v>45911.0</v>
      </c>
      <c r="B1683" s="33" t="s">
        <v>682</v>
      </c>
      <c r="C1683" s="33" t="s">
        <v>133</v>
      </c>
      <c r="D1683" s="29">
        <v>4.0</v>
      </c>
      <c r="E1683" s="39">
        <v>8200.0</v>
      </c>
      <c r="F1683" s="25" t="s">
        <v>10</v>
      </c>
      <c r="G1683" s="38">
        <v>45964.0</v>
      </c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>
      <c r="A1684" s="40">
        <v>45911.0</v>
      </c>
      <c r="B1684" s="33" t="s">
        <v>258</v>
      </c>
      <c r="C1684" s="33" t="s">
        <v>9</v>
      </c>
      <c r="D1684" s="29">
        <v>2.0</v>
      </c>
      <c r="E1684" s="30">
        <v>920.0</v>
      </c>
      <c r="F1684" s="25" t="s">
        <v>10</v>
      </c>
      <c r="G1684" s="38">
        <v>45917.0</v>
      </c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>
      <c r="A1685" s="40">
        <v>45912.0</v>
      </c>
      <c r="B1685" s="33" t="s">
        <v>1020</v>
      </c>
      <c r="C1685" s="33" t="s">
        <v>325</v>
      </c>
      <c r="D1685" s="29">
        <v>2.0</v>
      </c>
      <c r="E1685" s="30">
        <v>4600.0</v>
      </c>
      <c r="F1685" s="25" t="s">
        <v>10</v>
      </c>
      <c r="G1685" s="38">
        <v>45688.0</v>
      </c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>
      <c r="A1686" s="40">
        <v>45912.0</v>
      </c>
      <c r="B1686" s="33" t="s">
        <v>493</v>
      </c>
      <c r="C1686" s="33" t="s">
        <v>711</v>
      </c>
      <c r="D1686" s="29">
        <v>2.0</v>
      </c>
      <c r="E1686" s="30">
        <v>2400.0</v>
      </c>
      <c r="F1686" s="25" t="s">
        <v>10</v>
      </c>
      <c r="G1686" s="38">
        <v>45912.0</v>
      </c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>
      <c r="A1687" s="40">
        <v>45912.0</v>
      </c>
      <c r="B1687" s="33" t="s">
        <v>1021</v>
      </c>
      <c r="C1687" s="33" t="s">
        <v>138</v>
      </c>
      <c r="D1687" s="29">
        <v>2.0</v>
      </c>
      <c r="E1687" s="30">
        <v>1150.0</v>
      </c>
      <c r="F1687" s="25" t="s">
        <v>10</v>
      </c>
      <c r="G1687" s="38">
        <v>45912.0</v>
      </c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>
      <c r="A1688" s="40">
        <v>45912.0</v>
      </c>
      <c r="B1688" s="33" t="s">
        <v>605</v>
      </c>
      <c r="C1688" s="33" t="s">
        <v>156</v>
      </c>
      <c r="D1688" s="29">
        <v>1.0</v>
      </c>
      <c r="E1688" s="30">
        <v>1795.0</v>
      </c>
      <c r="F1688" s="25" t="s">
        <v>10</v>
      </c>
      <c r="G1688" s="38">
        <v>45913.0</v>
      </c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>
      <c r="A1689" s="40">
        <v>45915.0</v>
      </c>
      <c r="B1689" s="33" t="s">
        <v>1022</v>
      </c>
      <c r="C1689" s="33" t="s">
        <v>138</v>
      </c>
      <c r="D1689" s="29">
        <v>4.0</v>
      </c>
      <c r="E1689" s="30">
        <v>1800.0</v>
      </c>
      <c r="F1689" s="25" t="s">
        <v>10</v>
      </c>
      <c r="G1689" s="38">
        <v>45915.0</v>
      </c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>
      <c r="A1690" s="40">
        <v>45915.0</v>
      </c>
      <c r="B1690" s="33" t="s">
        <v>1023</v>
      </c>
      <c r="C1690" s="33" t="s">
        <v>133</v>
      </c>
      <c r="D1690" s="29">
        <v>2.0</v>
      </c>
      <c r="E1690" s="39">
        <v>1400.0</v>
      </c>
      <c r="F1690" s="25" t="s">
        <v>10</v>
      </c>
      <c r="G1690" s="38">
        <v>45964.0</v>
      </c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>
      <c r="A1691" s="40">
        <v>45915.0</v>
      </c>
      <c r="B1691" s="33" t="s">
        <v>428</v>
      </c>
      <c r="C1691" s="33" t="s">
        <v>143</v>
      </c>
      <c r="D1691" s="29">
        <v>2.0</v>
      </c>
      <c r="E1691" s="39">
        <v>2000.0</v>
      </c>
      <c r="F1691" s="25" t="s">
        <v>10</v>
      </c>
      <c r="G1691" s="38">
        <v>46035.0</v>
      </c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>
      <c r="A1692" s="40">
        <v>45916.0</v>
      </c>
      <c r="B1692" s="33" t="s">
        <v>1024</v>
      </c>
      <c r="C1692" s="33" t="s">
        <v>83</v>
      </c>
      <c r="D1692" s="29">
        <v>2.0</v>
      </c>
      <c r="E1692" s="30">
        <v>3200.0</v>
      </c>
      <c r="F1692" s="25" t="s">
        <v>10</v>
      </c>
      <c r="G1692" s="38">
        <v>45916.0</v>
      </c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>
      <c r="A1693" s="40">
        <v>45916.0</v>
      </c>
      <c r="B1693" s="33" t="s">
        <v>1025</v>
      </c>
      <c r="C1693" s="33" t="s">
        <v>154</v>
      </c>
      <c r="D1693" s="29">
        <v>4.0</v>
      </c>
      <c r="E1693" s="30">
        <v>4505.0</v>
      </c>
      <c r="F1693" s="25" t="s">
        <v>10</v>
      </c>
      <c r="G1693" s="38">
        <v>45916.0</v>
      </c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>
      <c r="A1694" s="40">
        <v>45916.0</v>
      </c>
      <c r="B1694" s="33" t="s">
        <v>397</v>
      </c>
      <c r="C1694" s="33" t="s">
        <v>143</v>
      </c>
      <c r="D1694" s="29">
        <v>2.0</v>
      </c>
      <c r="E1694" s="39">
        <v>2900.0</v>
      </c>
      <c r="F1694" s="25" t="s">
        <v>10</v>
      </c>
      <c r="G1694" s="38">
        <v>46035.0</v>
      </c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>
      <c r="A1695" s="40">
        <v>45916.0</v>
      </c>
      <c r="B1695" s="33" t="s">
        <v>1004</v>
      </c>
      <c r="C1695" s="33" t="s">
        <v>143</v>
      </c>
      <c r="D1695" s="29">
        <v>1.0</v>
      </c>
      <c r="E1695" s="39">
        <v>2800.0</v>
      </c>
      <c r="F1695" s="25" t="s">
        <v>10</v>
      </c>
      <c r="G1695" s="38">
        <v>46035.0</v>
      </c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>
      <c r="A1696" s="40">
        <v>45916.0</v>
      </c>
      <c r="B1696" s="33" t="s">
        <v>1026</v>
      </c>
      <c r="C1696" s="33" t="s">
        <v>154</v>
      </c>
      <c r="D1696" s="29">
        <v>2.0</v>
      </c>
      <c r="E1696" s="30">
        <v>2467.0</v>
      </c>
      <c r="F1696" s="25" t="s">
        <v>10</v>
      </c>
      <c r="G1696" s="38">
        <v>45916.0</v>
      </c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>
      <c r="A1697" s="40">
        <v>45916.0</v>
      </c>
      <c r="B1697" s="33" t="s">
        <v>839</v>
      </c>
      <c r="C1697" s="33" t="s">
        <v>133</v>
      </c>
      <c r="D1697" s="29">
        <v>1.0</v>
      </c>
      <c r="E1697" s="39">
        <v>3580.0</v>
      </c>
      <c r="F1697" s="25" t="s">
        <v>10</v>
      </c>
      <c r="G1697" s="38">
        <v>45964.0</v>
      </c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>
      <c r="A1698" s="40">
        <v>45917.0</v>
      </c>
      <c r="B1698" s="33" t="s">
        <v>663</v>
      </c>
      <c r="C1698" s="33" t="s">
        <v>9</v>
      </c>
      <c r="D1698" s="29">
        <v>2.0</v>
      </c>
      <c r="E1698" s="30">
        <v>3160.0</v>
      </c>
      <c r="F1698" s="25" t="s">
        <v>10</v>
      </c>
      <c r="G1698" s="38">
        <v>45917.0</v>
      </c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>
      <c r="A1699" s="40">
        <v>45917.0</v>
      </c>
      <c r="B1699" s="33" t="s">
        <v>589</v>
      </c>
      <c r="C1699" s="33" t="s">
        <v>711</v>
      </c>
      <c r="D1699" s="29">
        <v>2.0</v>
      </c>
      <c r="E1699" s="30">
        <v>2300.0</v>
      </c>
      <c r="F1699" s="25" t="s">
        <v>10</v>
      </c>
      <c r="G1699" s="38">
        <v>45917.0</v>
      </c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>
      <c r="A1700" s="40">
        <v>45917.0</v>
      </c>
      <c r="B1700" s="33" t="s">
        <v>470</v>
      </c>
      <c r="C1700" s="33" t="s">
        <v>9</v>
      </c>
      <c r="D1700" s="29">
        <v>4.0</v>
      </c>
      <c r="E1700" s="30">
        <v>2200.0</v>
      </c>
      <c r="F1700" s="25" t="s">
        <v>10</v>
      </c>
      <c r="G1700" s="38">
        <v>45919.0</v>
      </c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>
      <c r="A1701" s="40">
        <v>45917.0</v>
      </c>
      <c r="B1701" s="33" t="s">
        <v>1022</v>
      </c>
      <c r="C1701" s="33" t="s">
        <v>138</v>
      </c>
      <c r="D1701" s="29">
        <v>4.0</v>
      </c>
      <c r="E1701" s="30">
        <v>1880.0</v>
      </c>
      <c r="F1701" s="25" t="s">
        <v>10</v>
      </c>
      <c r="G1701" s="38">
        <v>45917.0</v>
      </c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>
      <c r="A1702" s="40">
        <v>45918.0</v>
      </c>
      <c r="B1702" s="33" t="s">
        <v>702</v>
      </c>
      <c r="C1702" s="33" t="s">
        <v>138</v>
      </c>
      <c r="D1702" s="29">
        <v>2.0</v>
      </c>
      <c r="E1702" s="30">
        <v>2000.0</v>
      </c>
      <c r="F1702" s="25" t="s">
        <v>10</v>
      </c>
      <c r="G1702" s="38">
        <v>45918.0</v>
      </c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>
      <c r="A1703" s="40">
        <v>45918.0</v>
      </c>
      <c r="B1703" s="33" t="s">
        <v>1027</v>
      </c>
      <c r="C1703" s="33" t="s">
        <v>138</v>
      </c>
      <c r="D1703" s="29">
        <v>4.0</v>
      </c>
      <c r="E1703" s="30">
        <v>3280.0</v>
      </c>
      <c r="F1703" s="25" t="s">
        <v>10</v>
      </c>
      <c r="G1703" s="38">
        <v>45918.0</v>
      </c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>
      <c r="A1704" s="40">
        <v>45918.0</v>
      </c>
      <c r="B1704" s="33" t="s">
        <v>1028</v>
      </c>
      <c r="C1704" s="33" t="s">
        <v>138</v>
      </c>
      <c r="D1704" s="29">
        <v>4.0</v>
      </c>
      <c r="E1704" s="30">
        <v>3900.0</v>
      </c>
      <c r="F1704" s="25" t="s">
        <v>10</v>
      </c>
      <c r="G1704" s="38">
        <v>45918.0</v>
      </c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>
      <c r="A1705" s="40">
        <v>45919.0</v>
      </c>
      <c r="B1705" s="33" t="s">
        <v>1029</v>
      </c>
      <c r="C1705" s="33" t="s">
        <v>126</v>
      </c>
      <c r="D1705" s="29">
        <v>1.0</v>
      </c>
      <c r="E1705" s="30">
        <v>1250.0</v>
      </c>
      <c r="F1705" s="25" t="s">
        <v>10</v>
      </c>
      <c r="G1705" s="38">
        <v>46034.0</v>
      </c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>
      <c r="A1706" s="40">
        <v>45920.0</v>
      </c>
      <c r="B1706" s="33" t="s">
        <v>1030</v>
      </c>
      <c r="C1706" s="33" t="s">
        <v>9</v>
      </c>
      <c r="D1706" s="29">
        <v>2.0</v>
      </c>
      <c r="E1706" s="30">
        <v>2900.0</v>
      </c>
      <c r="F1706" s="25" t="s">
        <v>10</v>
      </c>
      <c r="G1706" s="38">
        <v>45923.0</v>
      </c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>
      <c r="A1707" s="40">
        <v>45922.0</v>
      </c>
      <c r="B1707" s="33" t="s">
        <v>840</v>
      </c>
      <c r="C1707" s="33" t="s">
        <v>133</v>
      </c>
      <c r="D1707" s="29">
        <v>4.0</v>
      </c>
      <c r="E1707" s="39">
        <v>2600.0</v>
      </c>
      <c r="F1707" s="25" t="s">
        <v>10</v>
      </c>
      <c r="G1707" s="38">
        <v>45964.0</v>
      </c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>
      <c r="A1708" s="40">
        <v>45922.0</v>
      </c>
      <c r="B1708" s="33" t="s">
        <v>464</v>
      </c>
      <c r="C1708" s="33" t="s">
        <v>128</v>
      </c>
      <c r="D1708" s="29">
        <v>4.0</v>
      </c>
      <c r="E1708" s="30">
        <v>3780.0</v>
      </c>
      <c r="F1708" s="25" t="s">
        <v>10</v>
      </c>
      <c r="G1708" s="38">
        <v>45922.0</v>
      </c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>
      <c r="A1709" s="40">
        <v>45922.0</v>
      </c>
      <c r="B1709" s="33" t="s">
        <v>822</v>
      </c>
      <c r="C1709" s="33" t="s">
        <v>156</v>
      </c>
      <c r="D1709" s="29">
        <v>3.0</v>
      </c>
      <c r="E1709" s="30">
        <v>1571.0</v>
      </c>
      <c r="F1709" s="25" t="s">
        <v>10</v>
      </c>
      <c r="G1709" s="38">
        <v>45922.0</v>
      </c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>
      <c r="A1710" s="40">
        <v>45922.0</v>
      </c>
      <c r="B1710" s="33" t="s">
        <v>869</v>
      </c>
      <c r="C1710" s="33" t="s">
        <v>138</v>
      </c>
      <c r="D1710" s="29">
        <v>1.0</v>
      </c>
      <c r="E1710" s="30">
        <v>1100.0</v>
      </c>
      <c r="F1710" s="25" t="s">
        <v>10</v>
      </c>
      <c r="G1710" s="38">
        <v>45922.0</v>
      </c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>
      <c r="A1711" s="40">
        <v>45922.0</v>
      </c>
      <c r="B1711" s="33" t="s">
        <v>1031</v>
      </c>
      <c r="C1711" s="33" t="s">
        <v>154</v>
      </c>
      <c r="D1711" s="29">
        <v>1.0</v>
      </c>
      <c r="E1711" s="30">
        <v>1824.0</v>
      </c>
      <c r="F1711" s="25" t="s">
        <v>10</v>
      </c>
      <c r="G1711" s="38">
        <v>45922.0</v>
      </c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>
      <c r="A1712" s="40">
        <v>45923.0</v>
      </c>
      <c r="B1712" s="33" t="s">
        <v>840</v>
      </c>
      <c r="C1712" s="33" t="s">
        <v>133</v>
      </c>
      <c r="D1712" s="29">
        <v>2.0</v>
      </c>
      <c r="E1712" s="39">
        <v>1300.0</v>
      </c>
      <c r="F1712" s="25" t="s">
        <v>10</v>
      </c>
      <c r="G1712" s="38">
        <v>45964.0</v>
      </c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>
      <c r="A1713" s="40">
        <v>45923.0</v>
      </c>
      <c r="B1713" s="33" t="s">
        <v>846</v>
      </c>
      <c r="C1713" s="33" t="s">
        <v>9</v>
      </c>
      <c r="D1713" s="29">
        <v>2.0</v>
      </c>
      <c r="E1713" s="30">
        <v>1760.0</v>
      </c>
      <c r="F1713" s="25" t="s">
        <v>10</v>
      </c>
      <c r="G1713" s="38">
        <v>45923.0</v>
      </c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>
      <c r="A1714" s="40">
        <v>45923.0</v>
      </c>
      <c r="B1714" s="33" t="s">
        <v>1032</v>
      </c>
      <c r="C1714" s="33" t="s">
        <v>154</v>
      </c>
      <c r="D1714" s="29">
        <v>2.0</v>
      </c>
      <c r="E1714" s="30">
        <v>3165.0</v>
      </c>
      <c r="F1714" s="25" t="s">
        <v>10</v>
      </c>
      <c r="G1714" s="38">
        <v>45923.0</v>
      </c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>
      <c r="A1715" s="40">
        <v>45923.0</v>
      </c>
      <c r="B1715" s="33" t="s">
        <v>1033</v>
      </c>
      <c r="C1715" s="33" t="s">
        <v>126</v>
      </c>
      <c r="D1715" s="29">
        <v>1.0</v>
      </c>
      <c r="E1715" s="30">
        <v>870.0</v>
      </c>
      <c r="F1715" s="25" t="s">
        <v>10</v>
      </c>
      <c r="G1715" s="38">
        <v>46034.0</v>
      </c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>
      <c r="A1716" s="40">
        <v>45923.0</v>
      </c>
      <c r="B1716" s="33" t="s">
        <v>1032</v>
      </c>
      <c r="C1716" s="33" t="s">
        <v>154</v>
      </c>
      <c r="D1716" s="29">
        <v>2.0</v>
      </c>
      <c r="E1716" s="30">
        <v>3165.0</v>
      </c>
      <c r="F1716" s="25" t="s">
        <v>10</v>
      </c>
      <c r="G1716" s="38">
        <v>45923.0</v>
      </c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>
      <c r="A1717" s="40">
        <v>45924.0</v>
      </c>
      <c r="B1717" s="33" t="s">
        <v>615</v>
      </c>
      <c r="C1717" s="33" t="s">
        <v>138</v>
      </c>
      <c r="D1717" s="29">
        <v>2.0</v>
      </c>
      <c r="E1717" s="30">
        <v>3800.0</v>
      </c>
      <c r="F1717" s="25" t="s">
        <v>10</v>
      </c>
      <c r="G1717" s="38">
        <v>45924.0</v>
      </c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>
      <c r="A1718" s="40">
        <v>45924.0</v>
      </c>
      <c r="B1718" s="33" t="s">
        <v>772</v>
      </c>
      <c r="C1718" s="33" t="s">
        <v>443</v>
      </c>
      <c r="D1718" s="29">
        <v>4.0</v>
      </c>
      <c r="E1718" s="30">
        <v>6640.0</v>
      </c>
      <c r="F1718" s="25" t="s">
        <v>10</v>
      </c>
      <c r="G1718" s="38">
        <v>45924.0</v>
      </c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>
      <c r="A1719" s="40">
        <v>45924.0</v>
      </c>
      <c r="B1719" s="33" t="s">
        <v>96</v>
      </c>
      <c r="C1719" s="33" t="s">
        <v>143</v>
      </c>
      <c r="D1719" s="29">
        <v>1.0</v>
      </c>
      <c r="E1719" s="30">
        <v>1100.0</v>
      </c>
      <c r="F1719" s="25" t="s">
        <v>10</v>
      </c>
      <c r="G1719" s="38">
        <v>45924.0</v>
      </c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>
      <c r="A1720" s="40">
        <v>45924.0</v>
      </c>
      <c r="B1720" s="33" t="s">
        <v>96</v>
      </c>
      <c r="C1720" s="33" t="s">
        <v>143</v>
      </c>
      <c r="D1720" s="29">
        <v>1.0</v>
      </c>
      <c r="E1720" s="30">
        <v>1100.0</v>
      </c>
      <c r="F1720" s="25" t="s">
        <v>10</v>
      </c>
      <c r="G1720" s="38">
        <v>45924.0</v>
      </c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>
      <c r="A1721" s="40">
        <v>45924.0</v>
      </c>
      <c r="B1721" s="33" t="s">
        <v>1034</v>
      </c>
      <c r="C1721" s="33" t="s">
        <v>322</v>
      </c>
      <c r="D1721" s="29">
        <v>1.0</v>
      </c>
      <c r="E1721" s="30">
        <v>1750.0</v>
      </c>
      <c r="F1721" s="25" t="s">
        <v>10</v>
      </c>
      <c r="G1721" s="38">
        <v>46053.0</v>
      </c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>
      <c r="A1722" s="40">
        <v>45925.0</v>
      </c>
      <c r="B1722" s="33" t="s">
        <v>84</v>
      </c>
      <c r="C1722" s="33" t="s">
        <v>133</v>
      </c>
      <c r="D1722" s="29">
        <v>1.0</v>
      </c>
      <c r="E1722" s="39">
        <v>2300.0</v>
      </c>
      <c r="F1722" s="25" t="s">
        <v>10</v>
      </c>
      <c r="G1722" s="38">
        <v>45964.0</v>
      </c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>
      <c r="A1723" s="40">
        <v>45926.0</v>
      </c>
      <c r="B1723" s="33" t="s">
        <v>258</v>
      </c>
      <c r="C1723" s="33" t="s">
        <v>9</v>
      </c>
      <c r="D1723" s="29">
        <v>2.0</v>
      </c>
      <c r="E1723" s="30">
        <v>920.0</v>
      </c>
      <c r="F1723" s="25" t="s">
        <v>10</v>
      </c>
      <c r="G1723" s="38">
        <v>45926.0</v>
      </c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>
      <c r="A1724" s="40">
        <v>45927.0</v>
      </c>
      <c r="B1724" s="33" t="s">
        <v>461</v>
      </c>
      <c r="C1724" s="33" t="s">
        <v>154</v>
      </c>
      <c r="D1724" s="29">
        <v>2.0</v>
      </c>
      <c r="E1724" s="30">
        <v>2450.0</v>
      </c>
      <c r="F1724" s="25" t="s">
        <v>10</v>
      </c>
      <c r="G1724" s="38">
        <v>45927.0</v>
      </c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>
      <c r="A1725" s="40">
        <v>45927.0</v>
      </c>
      <c r="B1725" s="33" t="s">
        <v>1035</v>
      </c>
      <c r="C1725" s="33" t="s">
        <v>133</v>
      </c>
      <c r="D1725" s="29">
        <v>2.0</v>
      </c>
      <c r="E1725" s="39">
        <v>2150.0</v>
      </c>
      <c r="F1725" s="25" t="s">
        <v>10</v>
      </c>
      <c r="G1725" s="38">
        <v>45964.0</v>
      </c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>
      <c r="A1726" s="40">
        <v>45927.0</v>
      </c>
      <c r="B1726" s="33" t="s">
        <v>987</v>
      </c>
      <c r="C1726" s="33" t="s">
        <v>9</v>
      </c>
      <c r="D1726" s="29">
        <v>2.0</v>
      </c>
      <c r="E1726" s="30">
        <v>4100.0</v>
      </c>
      <c r="F1726" s="25" t="s">
        <v>10</v>
      </c>
      <c r="G1726" s="38">
        <v>45929.0</v>
      </c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>
      <c r="A1727" s="40">
        <v>45929.0</v>
      </c>
      <c r="B1727" s="33" t="s">
        <v>260</v>
      </c>
      <c r="C1727" s="33" t="s">
        <v>133</v>
      </c>
      <c r="D1727" s="29">
        <v>2.0</v>
      </c>
      <c r="E1727" s="39">
        <v>4800.0</v>
      </c>
      <c r="F1727" s="25" t="s">
        <v>10</v>
      </c>
      <c r="G1727" s="38">
        <v>45964.0</v>
      </c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>
      <c r="A1728" s="40">
        <v>45929.0</v>
      </c>
      <c r="B1728" s="33" t="s">
        <v>84</v>
      </c>
      <c r="C1728" s="33" t="s">
        <v>133</v>
      </c>
      <c r="D1728" s="29">
        <v>2.0</v>
      </c>
      <c r="E1728" s="39">
        <v>4600.0</v>
      </c>
      <c r="F1728" s="25" t="s">
        <v>10</v>
      </c>
      <c r="G1728" s="38">
        <v>45964.0</v>
      </c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>
      <c r="A1729" s="40">
        <v>45929.0</v>
      </c>
      <c r="B1729" s="33" t="s">
        <v>1036</v>
      </c>
      <c r="C1729" s="33" t="s">
        <v>154</v>
      </c>
      <c r="D1729" s="29">
        <v>1.0</v>
      </c>
      <c r="E1729" s="30">
        <v>3056.0</v>
      </c>
      <c r="F1729" s="25" t="s">
        <v>10</v>
      </c>
      <c r="G1729" s="38">
        <v>45929.0</v>
      </c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>
      <c r="A1730" s="40">
        <v>45929.0</v>
      </c>
      <c r="B1730" s="33" t="s">
        <v>810</v>
      </c>
      <c r="C1730" s="33" t="s">
        <v>133</v>
      </c>
      <c r="D1730" s="29">
        <v>1.0</v>
      </c>
      <c r="E1730" s="39">
        <v>1350.0</v>
      </c>
      <c r="F1730" s="25" t="s">
        <v>10</v>
      </c>
      <c r="G1730" s="38">
        <v>45964.0</v>
      </c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>
      <c r="A1731" s="40">
        <v>45929.0</v>
      </c>
      <c r="B1731" s="33" t="s">
        <v>370</v>
      </c>
      <c r="C1731" s="33" t="s">
        <v>133</v>
      </c>
      <c r="D1731" s="29">
        <v>2.0</v>
      </c>
      <c r="E1731" s="39">
        <v>2000.0</v>
      </c>
      <c r="F1731" s="25" t="s">
        <v>10</v>
      </c>
      <c r="G1731" s="38">
        <v>45964.0</v>
      </c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>
      <c r="A1732" s="40">
        <v>45930.0</v>
      </c>
      <c r="B1732" s="33" t="s">
        <v>1037</v>
      </c>
      <c r="C1732" s="33" t="s">
        <v>9</v>
      </c>
      <c r="D1732" s="29">
        <v>1.0</v>
      </c>
      <c r="E1732" s="30">
        <v>2600.0</v>
      </c>
      <c r="F1732" s="25" t="s">
        <v>10</v>
      </c>
      <c r="G1732" s="38">
        <v>45930.0</v>
      </c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>
      <c r="A1733" s="40">
        <v>45918.0</v>
      </c>
      <c r="B1733" s="33" t="s">
        <v>621</v>
      </c>
      <c r="C1733" s="33" t="s">
        <v>143</v>
      </c>
      <c r="D1733" s="29">
        <v>2.0</v>
      </c>
      <c r="E1733" s="39">
        <v>2700.0</v>
      </c>
      <c r="F1733" s="25" t="s">
        <v>10</v>
      </c>
      <c r="G1733" s="38">
        <v>46055.0</v>
      </c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>
      <c r="A1734" s="40">
        <v>45930.0</v>
      </c>
      <c r="B1734" s="33" t="s">
        <v>397</v>
      </c>
      <c r="C1734" s="33" t="s">
        <v>143</v>
      </c>
      <c r="D1734" s="29">
        <v>2.0</v>
      </c>
      <c r="E1734" s="39">
        <v>2900.0</v>
      </c>
      <c r="F1734" s="25" t="s">
        <v>10</v>
      </c>
      <c r="G1734" s="38">
        <v>46055.0</v>
      </c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>
      <c r="A1735" s="40">
        <v>45930.0</v>
      </c>
      <c r="B1735" s="33" t="s">
        <v>1038</v>
      </c>
      <c r="C1735" s="33" t="s">
        <v>143</v>
      </c>
      <c r="D1735" s="29">
        <v>1.0</v>
      </c>
      <c r="E1735" s="39">
        <v>2100.0</v>
      </c>
      <c r="F1735" s="25" t="s">
        <v>10</v>
      </c>
      <c r="G1735" s="38">
        <v>46055.0</v>
      </c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>
      <c r="A1736" s="40">
        <v>45931.0</v>
      </c>
      <c r="B1736" s="33" t="s">
        <v>39</v>
      </c>
      <c r="C1736" s="33" t="s">
        <v>138</v>
      </c>
      <c r="D1736" s="29">
        <v>2.0</v>
      </c>
      <c r="E1736" s="30">
        <v>1980.0</v>
      </c>
      <c r="F1736" s="25" t="s">
        <v>10</v>
      </c>
      <c r="G1736" s="38">
        <v>45931.0</v>
      </c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>
      <c r="A1737" s="40">
        <v>45931.0</v>
      </c>
      <c r="B1737" s="33" t="s">
        <v>840</v>
      </c>
      <c r="C1737" s="33" t="s">
        <v>133</v>
      </c>
      <c r="D1737" s="29">
        <v>1.0</v>
      </c>
      <c r="E1737" s="41">
        <v>650.0</v>
      </c>
      <c r="F1737" s="25" t="s">
        <v>10</v>
      </c>
      <c r="G1737" s="38">
        <v>45992.0</v>
      </c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>
      <c r="A1738" s="40">
        <v>45931.0</v>
      </c>
      <c r="B1738" s="33" t="s">
        <v>38</v>
      </c>
      <c r="C1738" s="33" t="s">
        <v>133</v>
      </c>
      <c r="D1738" s="29">
        <v>2.0</v>
      </c>
      <c r="E1738" s="41">
        <v>2150.0</v>
      </c>
      <c r="F1738" s="25" t="s">
        <v>10</v>
      </c>
      <c r="G1738" s="38">
        <v>45992.0</v>
      </c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>
      <c r="A1739" s="40">
        <v>45931.0</v>
      </c>
      <c r="B1739" s="33" t="s">
        <v>450</v>
      </c>
      <c r="C1739" s="33" t="s">
        <v>138</v>
      </c>
      <c r="D1739" s="29">
        <v>2.0</v>
      </c>
      <c r="E1739" s="30">
        <v>2700.0</v>
      </c>
      <c r="F1739" s="25" t="s">
        <v>10</v>
      </c>
      <c r="G1739" s="38">
        <v>45931.0</v>
      </c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>
      <c r="A1740" s="40">
        <v>45933.0</v>
      </c>
      <c r="B1740" s="33" t="s">
        <v>487</v>
      </c>
      <c r="C1740" s="33" t="s">
        <v>143</v>
      </c>
      <c r="D1740" s="29">
        <v>2.0</v>
      </c>
      <c r="E1740" s="39">
        <v>1700.0</v>
      </c>
      <c r="F1740" s="25" t="s">
        <v>10</v>
      </c>
      <c r="G1740" s="38">
        <v>46055.0</v>
      </c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>
      <c r="A1741" s="40">
        <v>45933.0</v>
      </c>
      <c r="B1741" s="33" t="s">
        <v>488</v>
      </c>
      <c r="C1741" s="33" t="s">
        <v>133</v>
      </c>
      <c r="D1741" s="29">
        <v>1.0</v>
      </c>
      <c r="E1741" s="41">
        <v>1370.0</v>
      </c>
      <c r="F1741" s="25" t="s">
        <v>10</v>
      </c>
      <c r="G1741" s="38">
        <v>45992.0</v>
      </c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>
      <c r="A1742" s="40">
        <v>45936.0</v>
      </c>
      <c r="B1742" s="33" t="s">
        <v>61</v>
      </c>
      <c r="C1742" s="33" t="s">
        <v>126</v>
      </c>
      <c r="D1742" s="29">
        <v>2.0</v>
      </c>
      <c r="E1742" s="16">
        <f>590*2</f>
        <v>1180</v>
      </c>
      <c r="F1742" s="25" t="s">
        <v>10</v>
      </c>
      <c r="G1742" s="38">
        <v>46034.0</v>
      </c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>
      <c r="A1743" s="40">
        <v>45936.0</v>
      </c>
      <c r="B1743" s="33" t="s">
        <v>461</v>
      </c>
      <c r="C1743" s="33" t="s">
        <v>126</v>
      </c>
      <c r="D1743" s="29">
        <v>2.0</v>
      </c>
      <c r="E1743" s="16">
        <f>1250*2</f>
        <v>2500</v>
      </c>
      <c r="F1743" s="25" t="s">
        <v>10</v>
      </c>
      <c r="G1743" s="38">
        <v>46034.0</v>
      </c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>
      <c r="A1744" s="40">
        <v>45936.0</v>
      </c>
      <c r="B1744" s="33" t="s">
        <v>461</v>
      </c>
      <c r="C1744" s="33" t="s">
        <v>126</v>
      </c>
      <c r="D1744" s="29">
        <v>4.0</v>
      </c>
      <c r="E1744" s="16">
        <f>1250*4</f>
        <v>5000</v>
      </c>
      <c r="F1744" s="25" t="s">
        <v>10</v>
      </c>
      <c r="G1744" s="38">
        <v>46034.0</v>
      </c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>
      <c r="A1745" s="40">
        <v>45936.0</v>
      </c>
      <c r="B1745" s="33" t="s">
        <v>1039</v>
      </c>
      <c r="C1745" s="33" t="s">
        <v>9</v>
      </c>
      <c r="D1745" s="29">
        <v>2.0</v>
      </c>
      <c r="E1745" s="16">
        <f>1500*2</f>
        <v>3000</v>
      </c>
      <c r="F1745" s="25" t="s">
        <v>10</v>
      </c>
      <c r="G1745" s="38">
        <v>45936.0</v>
      </c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>
      <c r="A1746" s="40">
        <v>45936.0</v>
      </c>
      <c r="B1746" s="33" t="s">
        <v>1040</v>
      </c>
      <c r="C1746" s="33" t="s">
        <v>138</v>
      </c>
      <c r="D1746" s="29">
        <v>2.0</v>
      </c>
      <c r="E1746" s="16">
        <f>1180*2</f>
        <v>2360</v>
      </c>
      <c r="F1746" s="25" t="s">
        <v>10</v>
      </c>
      <c r="G1746" s="38">
        <v>45936.0</v>
      </c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>
      <c r="A1747" s="40">
        <v>45937.0</v>
      </c>
      <c r="B1747" s="33" t="s">
        <v>1041</v>
      </c>
      <c r="C1747" s="33" t="s">
        <v>138</v>
      </c>
      <c r="D1747" s="29">
        <v>4.0</v>
      </c>
      <c r="E1747" s="16">
        <f>540*4</f>
        <v>2160</v>
      </c>
      <c r="F1747" s="25" t="s">
        <v>10</v>
      </c>
      <c r="G1747" s="38">
        <v>45937.0</v>
      </c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>
      <c r="A1748" s="36">
        <v>45937.0</v>
      </c>
      <c r="B1748" s="33" t="s">
        <v>846</v>
      </c>
      <c r="C1748" s="33" t="s">
        <v>126</v>
      </c>
      <c r="D1748" s="29">
        <v>2.0</v>
      </c>
      <c r="E1748" s="39">
        <v>1660.0</v>
      </c>
      <c r="F1748" s="25" t="s">
        <v>10</v>
      </c>
      <c r="G1748" s="38">
        <v>46062.0</v>
      </c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>
      <c r="A1749" s="36">
        <v>45937.0</v>
      </c>
      <c r="B1749" s="33" t="s">
        <v>35</v>
      </c>
      <c r="C1749" s="33" t="s">
        <v>9</v>
      </c>
      <c r="D1749" s="29">
        <v>2.0</v>
      </c>
      <c r="E1749" s="30">
        <f>1100*2</f>
        <v>2200</v>
      </c>
      <c r="F1749" s="25" t="s">
        <v>10</v>
      </c>
      <c r="G1749" s="26">
        <v>45937.0</v>
      </c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>
      <c r="A1750" s="36">
        <v>45938.0</v>
      </c>
      <c r="B1750" s="33" t="s">
        <v>1042</v>
      </c>
      <c r="C1750" s="33" t="s">
        <v>154</v>
      </c>
      <c r="D1750" s="29">
        <v>2.0</v>
      </c>
      <c r="E1750" s="30">
        <v>3142.0</v>
      </c>
      <c r="F1750" s="25" t="s">
        <v>10</v>
      </c>
      <c r="G1750" s="26">
        <v>45943.0</v>
      </c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>
      <c r="A1751" s="36">
        <v>45938.0</v>
      </c>
      <c r="B1751" s="33" t="s">
        <v>1029</v>
      </c>
      <c r="C1751" s="33" t="s">
        <v>9</v>
      </c>
      <c r="D1751" s="29">
        <v>2.0</v>
      </c>
      <c r="E1751" s="30">
        <f>1280*2</f>
        <v>2560</v>
      </c>
      <c r="F1751" s="25" t="s">
        <v>10</v>
      </c>
      <c r="G1751" s="26">
        <v>45939.0</v>
      </c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>
      <c r="A1752" s="36">
        <v>45938.0</v>
      </c>
      <c r="B1752" s="33" t="s">
        <v>1043</v>
      </c>
      <c r="C1752" s="33" t="s">
        <v>133</v>
      </c>
      <c r="D1752" s="29">
        <v>2.0</v>
      </c>
      <c r="E1752" s="41">
        <f>2450*2</f>
        <v>4900</v>
      </c>
      <c r="F1752" s="25" t="s">
        <v>10</v>
      </c>
      <c r="G1752" s="38">
        <v>45992.0</v>
      </c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>
      <c r="A1753" s="36">
        <v>45939.0</v>
      </c>
      <c r="B1753" s="33" t="s">
        <v>1044</v>
      </c>
      <c r="C1753" s="33" t="s">
        <v>9</v>
      </c>
      <c r="D1753" s="29">
        <v>2.0</v>
      </c>
      <c r="E1753" s="30">
        <v>1200.0</v>
      </c>
      <c r="F1753" s="25" t="s">
        <v>10</v>
      </c>
      <c r="G1753" s="26">
        <v>45939.0</v>
      </c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>
      <c r="A1754" s="36">
        <v>45939.0</v>
      </c>
      <c r="B1754" s="33" t="s">
        <v>702</v>
      </c>
      <c r="C1754" s="33" t="s">
        <v>133</v>
      </c>
      <c r="D1754" s="29">
        <v>4.0</v>
      </c>
      <c r="E1754" s="41">
        <v>4000.0</v>
      </c>
      <c r="F1754" s="25" t="s">
        <v>10</v>
      </c>
      <c r="G1754" s="38">
        <v>45992.0</v>
      </c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>
      <c r="A1755" s="36">
        <v>45940.0</v>
      </c>
      <c r="B1755" s="33" t="s">
        <v>1045</v>
      </c>
      <c r="C1755" s="33" t="s">
        <v>138</v>
      </c>
      <c r="D1755" s="29">
        <v>2.0</v>
      </c>
      <c r="E1755" s="30">
        <v>3000.0</v>
      </c>
      <c r="F1755" s="25" t="s">
        <v>10</v>
      </c>
      <c r="G1755" s="26">
        <v>45940.0</v>
      </c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>
      <c r="A1756" s="36">
        <v>45940.0</v>
      </c>
      <c r="B1756" s="33" t="s">
        <v>413</v>
      </c>
      <c r="C1756" s="33" t="s">
        <v>133</v>
      </c>
      <c r="D1756" s="29">
        <v>1.0</v>
      </c>
      <c r="E1756" s="41">
        <v>1900.0</v>
      </c>
      <c r="F1756" s="25" t="s">
        <v>10</v>
      </c>
      <c r="G1756" s="38">
        <v>45992.0</v>
      </c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>
      <c r="A1757" s="36">
        <v>45943.0</v>
      </c>
      <c r="B1757" s="33" t="s">
        <v>75</v>
      </c>
      <c r="C1757" s="33" t="s">
        <v>9</v>
      </c>
      <c r="D1757" s="29">
        <v>1.0</v>
      </c>
      <c r="E1757" s="30">
        <v>900.0</v>
      </c>
      <c r="F1757" s="25" t="s">
        <v>10</v>
      </c>
      <c r="G1757" s="26">
        <v>45943.0</v>
      </c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>
      <c r="A1758" s="36">
        <v>45943.0</v>
      </c>
      <c r="B1758" s="33" t="s">
        <v>1046</v>
      </c>
      <c r="C1758" s="33" t="s">
        <v>138</v>
      </c>
      <c r="D1758" s="29">
        <v>2.0</v>
      </c>
      <c r="E1758" s="30">
        <v>1250.0</v>
      </c>
      <c r="F1758" s="25" t="s">
        <v>10</v>
      </c>
      <c r="G1758" s="26">
        <v>45943.0</v>
      </c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>
      <c r="A1759" s="36">
        <v>45943.0</v>
      </c>
      <c r="B1759" s="33" t="s">
        <v>1047</v>
      </c>
      <c r="C1759" s="33" t="s">
        <v>138</v>
      </c>
      <c r="D1759" s="29">
        <v>4.0</v>
      </c>
      <c r="E1759" s="30">
        <v>3600.0</v>
      </c>
      <c r="F1759" s="25" t="s">
        <v>10</v>
      </c>
      <c r="G1759" s="26">
        <v>45943.0</v>
      </c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>
      <c r="A1760" s="36">
        <v>45943.0</v>
      </c>
      <c r="B1760" s="33" t="s">
        <v>613</v>
      </c>
      <c r="C1760" s="33" t="s">
        <v>133</v>
      </c>
      <c r="D1760" s="29">
        <v>4.0</v>
      </c>
      <c r="E1760" s="41">
        <v>4000.0</v>
      </c>
      <c r="F1760" s="25" t="s">
        <v>10</v>
      </c>
      <c r="G1760" s="38">
        <v>45992.0</v>
      </c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>
      <c r="A1761" s="36">
        <v>45943.0</v>
      </c>
      <c r="B1761" s="33" t="s">
        <v>196</v>
      </c>
      <c r="C1761" s="33" t="s">
        <v>133</v>
      </c>
      <c r="D1761" s="29">
        <v>4.0</v>
      </c>
      <c r="E1761" s="41">
        <v>3200.0</v>
      </c>
      <c r="F1761" s="25" t="s">
        <v>10</v>
      </c>
      <c r="G1761" s="38">
        <v>45992.0</v>
      </c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>
      <c r="A1762" s="36">
        <v>45943.0</v>
      </c>
      <c r="B1762" s="33" t="s">
        <v>448</v>
      </c>
      <c r="C1762" s="33" t="s">
        <v>133</v>
      </c>
      <c r="D1762" s="29">
        <v>2.0</v>
      </c>
      <c r="E1762" s="41">
        <v>4100.0</v>
      </c>
      <c r="F1762" s="25" t="s">
        <v>10</v>
      </c>
      <c r="G1762" s="38">
        <v>45992.0</v>
      </c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>
      <c r="A1763" s="36">
        <v>45943.0</v>
      </c>
      <c r="B1763" s="33" t="s">
        <v>118</v>
      </c>
      <c r="C1763" s="33" t="s">
        <v>154</v>
      </c>
      <c r="D1763" s="29">
        <v>2.0</v>
      </c>
      <c r="E1763" s="30">
        <v>1545.0</v>
      </c>
      <c r="F1763" s="25" t="s">
        <v>10</v>
      </c>
      <c r="G1763" s="26">
        <v>45943.0</v>
      </c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>
      <c r="A1764" s="36">
        <v>45943.0</v>
      </c>
      <c r="B1764" s="33" t="s">
        <v>529</v>
      </c>
      <c r="C1764" s="33" t="s">
        <v>126</v>
      </c>
      <c r="D1764" s="29">
        <v>4.0</v>
      </c>
      <c r="E1764" s="24">
        <f>590*4</f>
        <v>2360</v>
      </c>
      <c r="F1764" s="25" t="s">
        <v>10</v>
      </c>
      <c r="G1764" s="38">
        <v>46062.0</v>
      </c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>
      <c r="A1765" s="36">
        <v>45944.0</v>
      </c>
      <c r="B1765" s="33" t="s">
        <v>1048</v>
      </c>
      <c r="C1765" s="33" t="s">
        <v>9</v>
      </c>
      <c r="D1765" s="29">
        <v>2.0</v>
      </c>
      <c r="E1765" s="30">
        <f t="shared" ref="E1765:E1766" si="1">1750*D1765</f>
        <v>3500</v>
      </c>
      <c r="F1765" s="25" t="s">
        <v>10</v>
      </c>
      <c r="G1765" s="26">
        <v>45944.0</v>
      </c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>
      <c r="A1766" s="36">
        <v>45944.0</v>
      </c>
      <c r="B1766" s="33" t="s">
        <v>1049</v>
      </c>
      <c r="C1766" s="33" t="s">
        <v>9</v>
      </c>
      <c r="D1766" s="29">
        <v>4.0</v>
      </c>
      <c r="E1766" s="30">
        <f t="shared" si="1"/>
        <v>7000</v>
      </c>
      <c r="F1766" s="25" t="s">
        <v>10</v>
      </c>
      <c r="G1766" s="26">
        <v>45944.0</v>
      </c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>
      <c r="A1767" s="36">
        <v>45945.0</v>
      </c>
      <c r="B1767" s="33" t="s">
        <v>898</v>
      </c>
      <c r="C1767" s="33" t="s">
        <v>133</v>
      </c>
      <c r="D1767" s="29">
        <v>4.0</v>
      </c>
      <c r="E1767" s="41">
        <f>D1767*1200</f>
        <v>4800</v>
      </c>
      <c r="F1767" s="25" t="s">
        <v>10</v>
      </c>
      <c r="G1767" s="38">
        <v>45992.0</v>
      </c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>
      <c r="A1768" s="36">
        <v>45945.0</v>
      </c>
      <c r="B1768" s="33" t="s">
        <v>206</v>
      </c>
      <c r="C1768" s="33" t="s">
        <v>711</v>
      </c>
      <c r="D1768" s="29">
        <v>1.0</v>
      </c>
      <c r="E1768" s="30">
        <v>1450.0</v>
      </c>
      <c r="F1768" s="25" t="s">
        <v>10</v>
      </c>
      <c r="G1768" s="26">
        <v>45945.0</v>
      </c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>
      <c r="A1769" s="36">
        <v>45946.0</v>
      </c>
      <c r="B1769" s="33" t="s">
        <v>351</v>
      </c>
      <c r="C1769" s="33" t="s">
        <v>156</v>
      </c>
      <c r="D1769" s="29">
        <v>1.0</v>
      </c>
      <c r="E1769" s="30">
        <v>825.0</v>
      </c>
      <c r="F1769" s="25" t="s">
        <v>10</v>
      </c>
      <c r="G1769" s="26">
        <v>45946.0</v>
      </c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>
      <c r="A1770" s="36">
        <v>45947.0</v>
      </c>
      <c r="B1770" s="33" t="s">
        <v>1050</v>
      </c>
      <c r="C1770" s="33" t="s">
        <v>9</v>
      </c>
      <c r="D1770" s="29">
        <v>4.0</v>
      </c>
      <c r="E1770" s="30">
        <f>1250*4</f>
        <v>5000</v>
      </c>
      <c r="F1770" s="25" t="s">
        <v>10</v>
      </c>
      <c r="G1770" s="26">
        <v>45947.0</v>
      </c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>
      <c r="A1771" s="36">
        <v>45936.0</v>
      </c>
      <c r="B1771" s="33" t="s">
        <v>479</v>
      </c>
      <c r="C1771" s="33" t="s">
        <v>143</v>
      </c>
      <c r="D1771" s="29">
        <v>2.0</v>
      </c>
      <c r="E1771" s="39">
        <v>2500.0</v>
      </c>
      <c r="F1771" s="25" t="s">
        <v>10</v>
      </c>
      <c r="G1771" s="38">
        <v>46055.0</v>
      </c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>
      <c r="A1772" s="36">
        <v>45941.0</v>
      </c>
      <c r="B1772" s="33" t="s">
        <v>1051</v>
      </c>
      <c r="C1772" s="33" t="s">
        <v>143</v>
      </c>
      <c r="D1772" s="29">
        <v>2.0</v>
      </c>
      <c r="E1772" s="41">
        <v>8000.0</v>
      </c>
      <c r="F1772" s="25" t="s">
        <v>10</v>
      </c>
      <c r="G1772" s="38">
        <v>46072.0</v>
      </c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>
      <c r="A1773" s="36">
        <v>45950.0</v>
      </c>
      <c r="B1773" s="33" t="s">
        <v>1052</v>
      </c>
      <c r="C1773" s="33" t="s">
        <v>143</v>
      </c>
      <c r="D1773" s="29">
        <v>1.0</v>
      </c>
      <c r="E1773" s="41">
        <v>2900.0</v>
      </c>
      <c r="F1773" s="25" t="s">
        <v>10</v>
      </c>
      <c r="G1773" s="38">
        <v>46072.0</v>
      </c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>
      <c r="A1774" s="36">
        <v>45950.0</v>
      </c>
      <c r="B1774" s="33" t="s">
        <v>694</v>
      </c>
      <c r="C1774" s="33" t="s">
        <v>136</v>
      </c>
      <c r="D1774" s="29">
        <v>4.0</v>
      </c>
      <c r="E1774" s="16">
        <f>660*4</f>
        <v>2640</v>
      </c>
      <c r="F1774" s="25" t="s">
        <v>10</v>
      </c>
      <c r="G1774" s="26">
        <v>45950.0</v>
      </c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>
      <c r="A1775" s="36">
        <v>45950.0</v>
      </c>
      <c r="B1775" s="33" t="s">
        <v>1053</v>
      </c>
      <c r="C1775" s="33" t="s">
        <v>711</v>
      </c>
      <c r="D1775" s="29">
        <v>1.0</v>
      </c>
      <c r="E1775" s="30">
        <v>900.0</v>
      </c>
      <c r="F1775" s="25" t="s">
        <v>10</v>
      </c>
      <c r="G1775" s="26">
        <v>45950.0</v>
      </c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 ht="14.25" customHeight="1">
      <c r="A1776" s="36">
        <v>45951.0</v>
      </c>
      <c r="B1776" s="33" t="s">
        <v>851</v>
      </c>
      <c r="C1776" s="33" t="s">
        <v>711</v>
      </c>
      <c r="D1776" s="29">
        <v>2.0</v>
      </c>
      <c r="E1776" s="16">
        <f>1100*2</f>
        <v>2200</v>
      </c>
      <c r="F1776" s="25" t="s">
        <v>10</v>
      </c>
      <c r="G1776" s="26">
        <v>45951.0</v>
      </c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 ht="14.25" customHeight="1">
      <c r="A1777" s="36">
        <v>45951.0</v>
      </c>
      <c r="B1777" s="33" t="s">
        <v>529</v>
      </c>
      <c r="C1777" s="33" t="s">
        <v>126</v>
      </c>
      <c r="D1777" s="29">
        <v>2.0</v>
      </c>
      <c r="E1777" s="24">
        <f>590*2</f>
        <v>1180</v>
      </c>
      <c r="F1777" s="25" t="s">
        <v>10</v>
      </c>
      <c r="G1777" s="38">
        <v>46062.0</v>
      </c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 ht="14.25" customHeight="1">
      <c r="A1778" s="36">
        <v>45951.0</v>
      </c>
      <c r="B1778" s="33" t="s">
        <v>1030</v>
      </c>
      <c r="C1778" s="33" t="s">
        <v>133</v>
      </c>
      <c r="D1778" s="29">
        <v>2.0</v>
      </c>
      <c r="E1778" s="41">
        <v>3000.0</v>
      </c>
      <c r="F1778" s="25" t="s">
        <v>10</v>
      </c>
      <c r="G1778" s="38">
        <v>45992.0</v>
      </c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 ht="14.25" customHeight="1">
      <c r="A1779" s="36">
        <v>45951.0</v>
      </c>
      <c r="B1779" s="33" t="s">
        <v>777</v>
      </c>
      <c r="C1779" s="33" t="s">
        <v>9</v>
      </c>
      <c r="D1779" s="29">
        <v>1.0</v>
      </c>
      <c r="E1779" s="30">
        <v>1250.0</v>
      </c>
      <c r="F1779" s="25" t="s">
        <v>10</v>
      </c>
      <c r="G1779" s="26">
        <v>45951.0</v>
      </c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 ht="14.25" customHeight="1">
      <c r="A1780" s="36">
        <v>45951.0</v>
      </c>
      <c r="B1780" s="33" t="s">
        <v>957</v>
      </c>
      <c r="C1780" s="33" t="s">
        <v>9</v>
      </c>
      <c r="D1780" s="29">
        <v>4.0</v>
      </c>
      <c r="E1780" s="30">
        <f>1500*D1780</f>
        <v>6000</v>
      </c>
      <c r="F1780" s="25" t="s">
        <v>10</v>
      </c>
      <c r="G1780" s="26">
        <v>45951.0</v>
      </c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 ht="14.25" customHeight="1">
      <c r="A1781" s="36">
        <v>45951.0</v>
      </c>
      <c r="B1781" s="33" t="s">
        <v>744</v>
      </c>
      <c r="C1781" s="33" t="s">
        <v>9</v>
      </c>
      <c r="D1781" s="29">
        <v>1.0</v>
      </c>
      <c r="E1781" s="30">
        <v>680.0</v>
      </c>
      <c r="F1781" s="25" t="s">
        <v>10</v>
      </c>
      <c r="G1781" s="26">
        <v>45951.0</v>
      </c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 ht="14.25" customHeight="1">
      <c r="A1782" s="36">
        <v>45951.0</v>
      </c>
      <c r="B1782" s="33" t="s">
        <v>17</v>
      </c>
      <c r="C1782" s="33" t="s">
        <v>133</v>
      </c>
      <c r="D1782" s="29">
        <v>2.0</v>
      </c>
      <c r="E1782" s="30">
        <v>2500.0</v>
      </c>
      <c r="F1782" s="25" t="s">
        <v>10</v>
      </c>
      <c r="G1782" s="26">
        <v>45953.0</v>
      </c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 ht="14.25" customHeight="1">
      <c r="A1783" s="36">
        <v>45952.0</v>
      </c>
      <c r="B1783" s="33" t="s">
        <v>1054</v>
      </c>
      <c r="C1783" s="33" t="s">
        <v>154</v>
      </c>
      <c r="D1783" s="29">
        <v>2.0</v>
      </c>
      <c r="E1783" s="16">
        <f>1750*2</f>
        <v>3500</v>
      </c>
      <c r="F1783" s="25" t="s">
        <v>10</v>
      </c>
      <c r="G1783" s="26">
        <v>45952.0</v>
      </c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 ht="14.25" customHeight="1">
      <c r="A1784" s="36">
        <v>45952.0</v>
      </c>
      <c r="B1784" s="33" t="s">
        <v>1055</v>
      </c>
      <c r="C1784" s="33" t="s">
        <v>9</v>
      </c>
      <c r="D1784" s="29">
        <v>4.0</v>
      </c>
      <c r="E1784" s="16">
        <f>1880*4</f>
        <v>7520</v>
      </c>
      <c r="F1784" s="25" t="s">
        <v>10</v>
      </c>
      <c r="G1784" s="26">
        <v>45952.0</v>
      </c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 ht="14.25" customHeight="1">
      <c r="A1785" s="36">
        <v>45952.0</v>
      </c>
      <c r="B1785" s="33" t="s">
        <v>402</v>
      </c>
      <c r="C1785" s="33" t="s">
        <v>138</v>
      </c>
      <c r="D1785" s="29">
        <v>4.0</v>
      </c>
      <c r="E1785" s="16">
        <f>4*1550</f>
        <v>6200</v>
      </c>
      <c r="F1785" s="25" t="s">
        <v>10</v>
      </c>
      <c r="G1785" s="26">
        <v>45952.0</v>
      </c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 ht="14.25" customHeight="1">
      <c r="A1786" s="36">
        <v>45952.0</v>
      </c>
      <c r="B1786" s="33" t="s">
        <v>1056</v>
      </c>
      <c r="C1786" s="33" t="s">
        <v>138</v>
      </c>
      <c r="D1786" s="29">
        <v>4.0</v>
      </c>
      <c r="E1786" s="16">
        <f>1800*4</f>
        <v>7200</v>
      </c>
      <c r="F1786" s="25" t="s">
        <v>10</v>
      </c>
      <c r="G1786" s="26">
        <v>45954.0</v>
      </c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 ht="14.25" customHeight="1">
      <c r="A1787" s="36">
        <v>45952.0</v>
      </c>
      <c r="B1787" s="33" t="s">
        <v>529</v>
      </c>
      <c r="C1787" s="33" t="s">
        <v>126</v>
      </c>
      <c r="D1787" s="29">
        <v>4.0</v>
      </c>
      <c r="E1787" s="24">
        <f>590*4</f>
        <v>2360</v>
      </c>
      <c r="F1787" s="25" t="s">
        <v>10</v>
      </c>
      <c r="G1787" s="38">
        <v>46062.0</v>
      </c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 ht="14.25" customHeight="1">
      <c r="A1788" s="36">
        <v>45953.0</v>
      </c>
      <c r="B1788" s="33" t="s">
        <v>527</v>
      </c>
      <c r="C1788" s="33" t="s">
        <v>133</v>
      </c>
      <c r="D1788" s="29">
        <v>1.0</v>
      </c>
      <c r="E1788" s="41">
        <v>1370.0</v>
      </c>
      <c r="F1788" s="25" t="s">
        <v>10</v>
      </c>
      <c r="G1788" s="38">
        <v>45992.0</v>
      </c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 ht="14.25" customHeight="1">
      <c r="A1789" s="36">
        <v>45954.0</v>
      </c>
      <c r="B1789" s="33" t="s">
        <v>773</v>
      </c>
      <c r="C1789" s="33" t="s">
        <v>138</v>
      </c>
      <c r="D1789" s="29">
        <v>2.0</v>
      </c>
      <c r="E1789" s="30">
        <v>1080.0</v>
      </c>
      <c r="F1789" s="25" t="s">
        <v>10</v>
      </c>
      <c r="G1789" s="26">
        <v>45954.0</v>
      </c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 ht="14.25" customHeight="1">
      <c r="A1790" s="36">
        <v>45954.0</v>
      </c>
      <c r="B1790" s="33" t="s">
        <v>1057</v>
      </c>
      <c r="C1790" s="33" t="s">
        <v>9</v>
      </c>
      <c r="D1790" s="29">
        <v>1.0</v>
      </c>
      <c r="E1790" s="30">
        <v>750.0</v>
      </c>
      <c r="F1790" s="25" t="s">
        <v>10</v>
      </c>
      <c r="G1790" s="26">
        <v>45954.0</v>
      </c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 ht="14.25" customHeight="1">
      <c r="A1791" s="36">
        <v>45954.0</v>
      </c>
      <c r="B1791" s="33" t="s">
        <v>584</v>
      </c>
      <c r="C1791" s="33" t="s">
        <v>322</v>
      </c>
      <c r="D1791" s="29">
        <v>4.0</v>
      </c>
      <c r="E1791" s="30">
        <v>5000.0</v>
      </c>
      <c r="F1791" s="25" t="s">
        <v>10</v>
      </c>
      <c r="G1791" s="38">
        <v>46053.0</v>
      </c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 ht="14.25" customHeight="1">
      <c r="A1792" s="36">
        <v>45954.0</v>
      </c>
      <c r="B1792" s="33" t="s">
        <v>13</v>
      </c>
      <c r="C1792" s="33" t="s">
        <v>325</v>
      </c>
      <c r="D1792" s="29">
        <v>4.0</v>
      </c>
      <c r="E1792" s="30">
        <v>5600.0</v>
      </c>
      <c r="F1792" s="25" t="s">
        <v>10</v>
      </c>
      <c r="G1792" s="26">
        <v>45973.0</v>
      </c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 ht="14.25" customHeight="1">
      <c r="A1793" s="36">
        <v>45954.0</v>
      </c>
      <c r="B1793" s="33" t="s">
        <v>1058</v>
      </c>
      <c r="C1793" s="33" t="s">
        <v>154</v>
      </c>
      <c r="D1793" s="29">
        <v>2.0</v>
      </c>
      <c r="E1793" s="30">
        <v>3154.0</v>
      </c>
      <c r="F1793" s="25" t="s">
        <v>10</v>
      </c>
      <c r="G1793" s="26">
        <v>45954.0</v>
      </c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 ht="14.25" customHeight="1">
      <c r="A1794" s="36">
        <v>45955.0</v>
      </c>
      <c r="B1794" s="33" t="s">
        <v>527</v>
      </c>
      <c r="C1794" s="33" t="s">
        <v>711</v>
      </c>
      <c r="D1794" s="29">
        <v>3.0</v>
      </c>
      <c r="E1794" s="30">
        <v>4050.0</v>
      </c>
      <c r="F1794" s="25" t="s">
        <v>10</v>
      </c>
      <c r="G1794" s="26">
        <v>45955.0</v>
      </c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 ht="14.25" customHeight="1">
      <c r="A1795" s="36">
        <v>45955.0</v>
      </c>
      <c r="B1795" s="33" t="s">
        <v>1059</v>
      </c>
      <c r="C1795" s="33" t="s">
        <v>154</v>
      </c>
      <c r="D1795" s="29">
        <v>1.0</v>
      </c>
      <c r="E1795" s="30">
        <v>1156.0</v>
      </c>
      <c r="F1795" s="25" t="s">
        <v>10</v>
      </c>
      <c r="G1795" s="26">
        <v>45955.0</v>
      </c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 ht="14.25" customHeight="1">
      <c r="A1796" s="36">
        <v>45957.0</v>
      </c>
      <c r="B1796" s="33" t="s">
        <v>295</v>
      </c>
      <c r="C1796" s="33" t="s">
        <v>9</v>
      </c>
      <c r="D1796" s="29">
        <v>2.0</v>
      </c>
      <c r="E1796" s="30">
        <v>2500.0</v>
      </c>
      <c r="F1796" s="25" t="s">
        <v>10</v>
      </c>
      <c r="G1796" s="26">
        <v>45957.0</v>
      </c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 ht="14.25" customHeight="1">
      <c r="A1797" s="36">
        <v>45957.0</v>
      </c>
      <c r="B1797" s="33" t="s">
        <v>1060</v>
      </c>
      <c r="C1797" s="33" t="s">
        <v>138</v>
      </c>
      <c r="D1797" s="29">
        <v>4.0</v>
      </c>
      <c r="E1797" s="30">
        <v>5000.0</v>
      </c>
      <c r="F1797" s="25" t="s">
        <v>10</v>
      </c>
      <c r="G1797" s="26">
        <v>45957.0</v>
      </c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 ht="14.25" customHeight="1">
      <c r="A1798" s="36">
        <v>45957.0</v>
      </c>
      <c r="B1798" s="33" t="s">
        <v>1061</v>
      </c>
      <c r="C1798" s="33" t="s">
        <v>138</v>
      </c>
      <c r="D1798" s="29">
        <v>2.0</v>
      </c>
      <c r="E1798" s="30">
        <v>1680.0</v>
      </c>
      <c r="F1798" s="25" t="s">
        <v>10</v>
      </c>
      <c r="G1798" s="26">
        <v>45957.0</v>
      </c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 ht="14.25" customHeight="1">
      <c r="A1799" s="36">
        <v>45958.0</v>
      </c>
      <c r="B1799" s="33" t="s">
        <v>744</v>
      </c>
      <c r="C1799" s="33" t="s">
        <v>126</v>
      </c>
      <c r="D1799" s="29">
        <v>4.0</v>
      </c>
      <c r="E1799" s="39">
        <v>2680.0</v>
      </c>
      <c r="F1799" s="25" t="s">
        <v>10</v>
      </c>
      <c r="G1799" s="38">
        <v>46062.0</v>
      </c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 ht="14.25" customHeight="1">
      <c r="A1800" s="36">
        <v>45958.0</v>
      </c>
      <c r="B1800" s="33" t="s">
        <v>1062</v>
      </c>
      <c r="C1800" s="33" t="s">
        <v>126</v>
      </c>
      <c r="D1800" s="29">
        <v>2.0</v>
      </c>
      <c r="E1800" s="30">
        <v>2660.0</v>
      </c>
      <c r="F1800" s="25" t="s">
        <v>10</v>
      </c>
      <c r="G1800" s="38">
        <v>46066.0</v>
      </c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 ht="14.25" customHeight="1">
      <c r="A1801" s="36">
        <v>45958.0</v>
      </c>
      <c r="B1801" s="33" t="s">
        <v>1063</v>
      </c>
      <c r="C1801" s="33" t="s">
        <v>9</v>
      </c>
      <c r="D1801" s="29">
        <v>2.0</v>
      </c>
      <c r="E1801" s="30">
        <v>3100.0</v>
      </c>
      <c r="F1801" s="25" t="s">
        <v>10</v>
      </c>
      <c r="G1801" s="26">
        <v>45958.0</v>
      </c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 ht="14.25" customHeight="1">
      <c r="A1802" s="36">
        <v>45958.0</v>
      </c>
      <c r="B1802" s="33" t="s">
        <v>1064</v>
      </c>
      <c r="C1802" s="33" t="s">
        <v>128</v>
      </c>
      <c r="D1802" s="29">
        <v>2.0</v>
      </c>
      <c r="E1802" s="30">
        <v>2712.0</v>
      </c>
      <c r="F1802" s="25" t="s">
        <v>10</v>
      </c>
      <c r="G1802" s="26">
        <v>45958.0</v>
      </c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 ht="14.25" customHeight="1">
      <c r="A1803" s="36">
        <v>45958.0</v>
      </c>
      <c r="B1803" s="33" t="s">
        <v>1065</v>
      </c>
      <c r="C1803" s="33" t="s">
        <v>132</v>
      </c>
      <c r="D1803" s="29">
        <v>1.0</v>
      </c>
      <c r="E1803" s="30">
        <v>450.0</v>
      </c>
      <c r="F1803" s="25" t="s">
        <v>10</v>
      </c>
      <c r="G1803" s="26">
        <v>45958.0</v>
      </c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 ht="14.25" customHeight="1">
      <c r="A1804" s="36">
        <v>45958.0</v>
      </c>
      <c r="B1804" s="33" t="s">
        <v>1066</v>
      </c>
      <c r="C1804" s="33" t="s">
        <v>1067</v>
      </c>
      <c r="D1804" s="29">
        <v>1.0</v>
      </c>
      <c r="E1804" s="30">
        <v>470.0</v>
      </c>
      <c r="F1804" s="25" t="s">
        <v>10</v>
      </c>
      <c r="G1804" s="26">
        <v>45958.0</v>
      </c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 ht="14.25" customHeight="1">
      <c r="A1805" s="36">
        <v>45959.0</v>
      </c>
      <c r="B1805" s="33" t="s">
        <v>1064</v>
      </c>
      <c r="C1805" s="33" t="s">
        <v>128</v>
      </c>
      <c r="D1805" s="29">
        <v>2.0</v>
      </c>
      <c r="E1805" s="30">
        <v>2712.0</v>
      </c>
      <c r="F1805" s="25" t="s">
        <v>10</v>
      </c>
      <c r="G1805" s="26">
        <v>45958.0</v>
      </c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 ht="14.25" customHeight="1">
      <c r="A1806" s="36">
        <v>45959.0</v>
      </c>
      <c r="B1806" s="33" t="s">
        <v>527</v>
      </c>
      <c r="C1806" s="33" t="s">
        <v>711</v>
      </c>
      <c r="D1806" s="29">
        <v>2.0</v>
      </c>
      <c r="E1806" s="30">
        <v>2700.0</v>
      </c>
      <c r="F1806" s="25" t="s">
        <v>10</v>
      </c>
      <c r="G1806" s="26">
        <v>45959.0</v>
      </c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 ht="14.25" customHeight="1">
      <c r="A1807" s="36">
        <v>45959.0</v>
      </c>
      <c r="B1807" s="33" t="s">
        <v>1068</v>
      </c>
      <c r="C1807" s="33" t="s">
        <v>9</v>
      </c>
      <c r="D1807" s="29">
        <v>2.0</v>
      </c>
      <c r="E1807" s="30">
        <v>2600.0</v>
      </c>
      <c r="F1807" s="25" t="s">
        <v>10</v>
      </c>
      <c r="G1807" s="26">
        <v>45972.0</v>
      </c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 ht="14.25" customHeight="1">
      <c r="A1808" s="36">
        <v>45960.0</v>
      </c>
      <c r="B1808" s="33" t="s">
        <v>1069</v>
      </c>
      <c r="C1808" s="33" t="s">
        <v>133</v>
      </c>
      <c r="D1808" s="29">
        <v>1.0</v>
      </c>
      <c r="E1808" s="41">
        <v>1400.0</v>
      </c>
      <c r="F1808" s="25" t="s">
        <v>10</v>
      </c>
      <c r="G1808" s="38">
        <v>45992.0</v>
      </c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 ht="14.25" customHeight="1">
      <c r="A1809" s="36">
        <v>45960.0</v>
      </c>
      <c r="B1809" s="33" t="s">
        <v>241</v>
      </c>
      <c r="C1809" s="33" t="s">
        <v>133</v>
      </c>
      <c r="D1809" s="29">
        <v>2.0</v>
      </c>
      <c r="E1809" s="41">
        <v>1180.0</v>
      </c>
      <c r="F1809" s="25" t="s">
        <v>10</v>
      </c>
      <c r="G1809" s="38">
        <v>45992.0</v>
      </c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 ht="14.25" customHeight="1">
      <c r="A1810" s="36">
        <v>45961.0</v>
      </c>
      <c r="B1810" s="33" t="s">
        <v>488</v>
      </c>
      <c r="C1810" s="33" t="s">
        <v>133</v>
      </c>
      <c r="D1810" s="29">
        <v>1.0</v>
      </c>
      <c r="E1810" s="41">
        <v>1370.0</v>
      </c>
      <c r="F1810" s="25" t="s">
        <v>10</v>
      </c>
      <c r="G1810" s="38">
        <v>45992.0</v>
      </c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 ht="14.25" customHeight="1">
      <c r="A1811" s="36">
        <v>45961.0</v>
      </c>
      <c r="B1811" s="33" t="s">
        <v>1070</v>
      </c>
      <c r="C1811" s="33" t="s">
        <v>126</v>
      </c>
      <c r="D1811" s="29">
        <v>2.0</v>
      </c>
      <c r="E1811" s="30">
        <v>4700.0</v>
      </c>
      <c r="F1811" s="25" t="s">
        <v>10</v>
      </c>
      <c r="G1811" s="38">
        <v>46066.0</v>
      </c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 ht="14.25" customHeight="1">
      <c r="A1812" s="36">
        <v>45961.0</v>
      </c>
      <c r="B1812" s="33" t="s">
        <v>1071</v>
      </c>
      <c r="C1812" s="33" t="s">
        <v>133</v>
      </c>
      <c r="D1812" s="29">
        <v>1.0</v>
      </c>
      <c r="E1812" s="41">
        <v>1850.0</v>
      </c>
      <c r="F1812" s="25" t="s">
        <v>10</v>
      </c>
      <c r="G1812" s="38">
        <v>45992.0</v>
      </c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 ht="14.25" customHeight="1">
      <c r="A1813" s="40">
        <v>45962.0</v>
      </c>
      <c r="B1813" s="33" t="s">
        <v>1072</v>
      </c>
      <c r="C1813" s="33" t="s">
        <v>126</v>
      </c>
      <c r="D1813" s="29">
        <v>4.0</v>
      </c>
      <c r="E1813" s="41">
        <v>3520.0</v>
      </c>
      <c r="F1813" s="25" t="s">
        <v>10</v>
      </c>
      <c r="G1813" s="38">
        <v>46090.0</v>
      </c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 ht="14.25" customHeight="1">
      <c r="A1814" s="40">
        <v>45965.0</v>
      </c>
      <c r="B1814" s="33" t="s">
        <v>704</v>
      </c>
      <c r="C1814" s="33" t="s">
        <v>9</v>
      </c>
      <c r="D1814" s="29">
        <v>2.0</v>
      </c>
      <c r="E1814" s="30">
        <v>1700.0</v>
      </c>
      <c r="F1814" s="25" t="s">
        <v>10</v>
      </c>
      <c r="G1814" s="38">
        <v>45965.0</v>
      </c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 ht="14.25" customHeight="1">
      <c r="A1815" s="40">
        <v>45965.0</v>
      </c>
      <c r="B1815" s="33" t="s">
        <v>1073</v>
      </c>
      <c r="C1815" s="33" t="s">
        <v>133</v>
      </c>
      <c r="D1815" s="29">
        <v>1.0</v>
      </c>
      <c r="E1815" s="41">
        <v>1370.0</v>
      </c>
      <c r="F1815" s="25" t="s">
        <v>10</v>
      </c>
      <c r="G1815" s="26">
        <v>46001.0</v>
      </c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 ht="14.25" customHeight="1">
      <c r="A1816" s="40">
        <v>45965.0</v>
      </c>
      <c r="B1816" s="33" t="s">
        <v>344</v>
      </c>
      <c r="C1816" s="33" t="s">
        <v>711</v>
      </c>
      <c r="D1816" s="29">
        <v>1.0</v>
      </c>
      <c r="E1816" s="30">
        <v>580.0</v>
      </c>
      <c r="F1816" s="25" t="s">
        <v>10</v>
      </c>
      <c r="G1816" s="38">
        <v>45965.0</v>
      </c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 ht="14.25" customHeight="1">
      <c r="A1817" s="40">
        <v>45965.0</v>
      </c>
      <c r="B1817" s="33" t="s">
        <v>744</v>
      </c>
      <c r="C1817" s="33" t="s">
        <v>126</v>
      </c>
      <c r="D1817" s="29">
        <v>4.0</v>
      </c>
      <c r="E1817" s="41">
        <v>2680.0</v>
      </c>
      <c r="F1817" s="25" t="s">
        <v>10</v>
      </c>
      <c r="G1817" s="38">
        <v>46090.0</v>
      </c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 ht="14.25" customHeight="1">
      <c r="A1818" s="40">
        <v>45965.0</v>
      </c>
      <c r="B1818" s="33" t="s">
        <v>1074</v>
      </c>
      <c r="C1818" s="33" t="s">
        <v>9</v>
      </c>
      <c r="D1818" s="29">
        <v>1.0</v>
      </c>
      <c r="E1818" s="30">
        <v>2100.0</v>
      </c>
      <c r="F1818" s="25" t="s">
        <v>10</v>
      </c>
      <c r="G1818" s="26">
        <v>45972.0</v>
      </c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 ht="14.25" customHeight="1">
      <c r="A1819" s="40">
        <v>45966.0</v>
      </c>
      <c r="B1819" s="33" t="s">
        <v>1075</v>
      </c>
      <c r="C1819" s="33" t="s">
        <v>138</v>
      </c>
      <c r="D1819" s="29">
        <v>4.0</v>
      </c>
      <c r="E1819" s="30">
        <v>3400.0</v>
      </c>
      <c r="F1819" s="25" t="s">
        <v>222</v>
      </c>
      <c r="G1819" s="38">
        <v>45973.0</v>
      </c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 ht="14.25" customHeight="1">
      <c r="A1820" s="40">
        <v>45968.0</v>
      </c>
      <c r="B1820" s="33" t="s">
        <v>500</v>
      </c>
      <c r="C1820" s="33" t="s">
        <v>133</v>
      </c>
      <c r="D1820" s="29">
        <v>2.0</v>
      </c>
      <c r="E1820" s="30">
        <v>1300.0</v>
      </c>
      <c r="F1820" s="25" t="s">
        <v>10</v>
      </c>
      <c r="G1820" s="26">
        <v>45971.0</v>
      </c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 ht="14.25" customHeight="1">
      <c r="A1821" s="40">
        <v>45968.0</v>
      </c>
      <c r="B1821" s="33" t="s">
        <v>1017</v>
      </c>
      <c r="C1821" s="33" t="s">
        <v>138</v>
      </c>
      <c r="D1821" s="29">
        <v>2.0</v>
      </c>
      <c r="E1821" s="30">
        <v>3600.0</v>
      </c>
      <c r="F1821" s="25" t="s">
        <v>10</v>
      </c>
      <c r="G1821" s="38">
        <v>45968.0</v>
      </c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 ht="14.25" customHeight="1">
      <c r="A1822" s="40">
        <v>45968.0</v>
      </c>
      <c r="B1822" s="33" t="s">
        <v>1076</v>
      </c>
      <c r="C1822" s="33" t="s">
        <v>132</v>
      </c>
      <c r="D1822" s="29">
        <v>1.0</v>
      </c>
      <c r="E1822" s="30">
        <v>380.0</v>
      </c>
      <c r="F1822" s="25" t="s">
        <v>10</v>
      </c>
      <c r="G1822" s="38">
        <v>45969.0</v>
      </c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 ht="14.25" customHeight="1">
      <c r="A1823" s="40">
        <v>45968.0</v>
      </c>
      <c r="B1823" s="33" t="s">
        <v>1077</v>
      </c>
      <c r="C1823" s="33" t="s">
        <v>1067</v>
      </c>
      <c r="D1823" s="29">
        <v>1.0</v>
      </c>
      <c r="E1823" s="30">
        <v>470.0</v>
      </c>
      <c r="F1823" s="25" t="s">
        <v>10</v>
      </c>
      <c r="G1823" s="38">
        <v>45969.0</v>
      </c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 ht="14.25" customHeight="1">
      <c r="A1824" s="40">
        <v>45969.0</v>
      </c>
      <c r="B1824" s="33" t="s">
        <v>665</v>
      </c>
      <c r="C1824" s="33" t="s">
        <v>133</v>
      </c>
      <c r="D1824" s="29">
        <v>2.0</v>
      </c>
      <c r="E1824" s="41">
        <v>4600.0</v>
      </c>
      <c r="F1824" s="25" t="s">
        <v>10</v>
      </c>
      <c r="G1824" s="26">
        <v>46001.0</v>
      </c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 ht="14.25" customHeight="1">
      <c r="A1825" s="40">
        <v>45969.0</v>
      </c>
      <c r="B1825" s="33" t="s">
        <v>805</v>
      </c>
      <c r="C1825" s="33" t="s">
        <v>128</v>
      </c>
      <c r="D1825" s="29">
        <v>4.0</v>
      </c>
      <c r="E1825" s="30">
        <v>1870.0</v>
      </c>
      <c r="F1825" s="25" t="s">
        <v>10</v>
      </c>
      <c r="G1825" s="38">
        <v>45969.0</v>
      </c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 ht="14.25" customHeight="1">
      <c r="A1826" s="40">
        <v>45970.0</v>
      </c>
      <c r="B1826" s="33" t="s">
        <v>609</v>
      </c>
      <c r="C1826" s="33" t="s">
        <v>113</v>
      </c>
      <c r="D1826" s="29">
        <v>4.0</v>
      </c>
      <c r="E1826" s="39">
        <v>2120.0</v>
      </c>
      <c r="F1826" s="25" t="s">
        <v>122</v>
      </c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 ht="14.25" customHeight="1">
      <c r="A1827" s="40">
        <v>45970.0</v>
      </c>
      <c r="B1827" s="33" t="s">
        <v>1078</v>
      </c>
      <c r="C1827" s="33" t="s">
        <v>113</v>
      </c>
      <c r="D1827" s="29">
        <v>4.0</v>
      </c>
      <c r="E1827" s="39">
        <v>2920.0</v>
      </c>
      <c r="F1827" s="25" t="s">
        <v>122</v>
      </c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 ht="14.25" customHeight="1">
      <c r="A1828" s="40">
        <v>45970.0</v>
      </c>
      <c r="B1828" s="33" t="s">
        <v>344</v>
      </c>
      <c r="C1828" s="33" t="s">
        <v>113</v>
      </c>
      <c r="D1828" s="29">
        <v>4.0</v>
      </c>
      <c r="E1828" s="39">
        <v>2400.0</v>
      </c>
      <c r="F1828" s="25" t="s">
        <v>122</v>
      </c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 ht="14.25" customHeight="1">
      <c r="A1829" s="40">
        <v>45970.0</v>
      </c>
      <c r="B1829" s="33" t="s">
        <v>43</v>
      </c>
      <c r="C1829" s="33" t="s">
        <v>113</v>
      </c>
      <c r="D1829" s="29">
        <v>4.0</v>
      </c>
      <c r="E1829" s="39">
        <v>3760.0</v>
      </c>
      <c r="F1829" s="25" t="s">
        <v>122</v>
      </c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 ht="14.25" customHeight="1">
      <c r="A1830" s="40">
        <v>45970.0</v>
      </c>
      <c r="B1830" s="33" t="s">
        <v>1079</v>
      </c>
      <c r="C1830" s="33" t="s">
        <v>113</v>
      </c>
      <c r="D1830" s="29">
        <v>2.0</v>
      </c>
      <c r="E1830" s="39">
        <v>2200.0</v>
      </c>
      <c r="F1830" s="25" t="s">
        <v>122</v>
      </c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 ht="14.25" customHeight="1">
      <c r="A1831" s="36">
        <v>45970.0</v>
      </c>
      <c r="B1831" s="33" t="s">
        <v>61</v>
      </c>
      <c r="C1831" s="33" t="s">
        <v>113</v>
      </c>
      <c r="D1831" s="29">
        <v>4.0</v>
      </c>
      <c r="E1831" s="30">
        <v>2400.0</v>
      </c>
      <c r="F1831" s="25" t="s">
        <v>122</v>
      </c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 ht="14.25" customHeight="1">
      <c r="A1832" s="36">
        <v>45971.0</v>
      </c>
      <c r="B1832" s="33" t="s">
        <v>951</v>
      </c>
      <c r="C1832" s="33" t="s">
        <v>133</v>
      </c>
      <c r="D1832" s="29">
        <v>2.0</v>
      </c>
      <c r="E1832" s="30">
        <v>3200.0</v>
      </c>
      <c r="F1832" s="25" t="s">
        <v>10</v>
      </c>
      <c r="G1832" s="26">
        <v>45972.0</v>
      </c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 ht="14.25" customHeight="1">
      <c r="A1833" s="36">
        <v>45971.0</v>
      </c>
      <c r="B1833" s="33" t="s">
        <v>904</v>
      </c>
      <c r="C1833" s="33" t="s">
        <v>133</v>
      </c>
      <c r="D1833" s="29">
        <v>1.0</v>
      </c>
      <c r="E1833" s="30">
        <v>1970.0</v>
      </c>
      <c r="F1833" s="25" t="s">
        <v>10</v>
      </c>
      <c r="G1833" s="26">
        <v>45971.0</v>
      </c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 ht="14.25" customHeight="1">
      <c r="A1834" s="36">
        <v>45971.0</v>
      </c>
      <c r="B1834" s="33" t="s">
        <v>1080</v>
      </c>
      <c r="C1834" s="33" t="s">
        <v>9</v>
      </c>
      <c r="D1834" s="29">
        <v>4.0</v>
      </c>
      <c r="E1834" s="30">
        <v>4200.0</v>
      </c>
      <c r="F1834" s="25" t="s">
        <v>10</v>
      </c>
      <c r="G1834" s="26">
        <v>45972.0</v>
      </c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 ht="14.25" customHeight="1">
      <c r="A1835" s="36">
        <v>45971.0</v>
      </c>
      <c r="B1835" s="33" t="s">
        <v>1081</v>
      </c>
      <c r="C1835" s="33" t="s">
        <v>133</v>
      </c>
      <c r="D1835" s="29">
        <v>1.0</v>
      </c>
      <c r="E1835" s="41">
        <v>1300.0</v>
      </c>
      <c r="F1835" s="25" t="s">
        <v>10</v>
      </c>
      <c r="G1835" s="26">
        <v>46001.0</v>
      </c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 ht="14.25" customHeight="1">
      <c r="A1836" s="36">
        <v>45971.0</v>
      </c>
      <c r="B1836" s="33" t="s">
        <v>1082</v>
      </c>
      <c r="C1836" s="33" t="s">
        <v>154</v>
      </c>
      <c r="D1836" s="29">
        <v>1.0</v>
      </c>
      <c r="E1836" s="30">
        <v>1735.0</v>
      </c>
      <c r="F1836" s="25" t="s">
        <v>10</v>
      </c>
      <c r="G1836" s="26">
        <v>45972.0</v>
      </c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 ht="14.25" customHeight="1">
      <c r="A1837" s="36">
        <v>45972.0</v>
      </c>
      <c r="B1837" s="33" t="s">
        <v>1083</v>
      </c>
      <c r="C1837" s="33" t="s">
        <v>9</v>
      </c>
      <c r="D1837" s="29">
        <v>2.0</v>
      </c>
      <c r="E1837" s="30">
        <v>2200.0</v>
      </c>
      <c r="F1837" s="25" t="s">
        <v>10</v>
      </c>
      <c r="G1837" s="26">
        <v>45974.0</v>
      </c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 ht="14.25" customHeight="1">
      <c r="A1838" s="36">
        <v>45972.0</v>
      </c>
      <c r="B1838" s="33" t="s">
        <v>978</v>
      </c>
      <c r="C1838" s="33" t="s">
        <v>9</v>
      </c>
      <c r="D1838" s="29">
        <v>2.0</v>
      </c>
      <c r="E1838" s="30">
        <v>3160.0</v>
      </c>
      <c r="F1838" s="25" t="s">
        <v>10</v>
      </c>
      <c r="G1838" s="26">
        <v>45974.0</v>
      </c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 ht="14.25" customHeight="1">
      <c r="A1839" s="36">
        <v>45972.0</v>
      </c>
      <c r="B1839" s="33" t="s">
        <v>461</v>
      </c>
      <c r="C1839" s="33" t="s">
        <v>154</v>
      </c>
      <c r="D1839" s="29">
        <v>2.0</v>
      </c>
      <c r="E1839" s="30">
        <v>2355.0</v>
      </c>
      <c r="F1839" s="25" t="s">
        <v>10</v>
      </c>
      <c r="G1839" s="26">
        <v>45972.0</v>
      </c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 ht="14.25" customHeight="1">
      <c r="A1840" s="36">
        <v>45972.0</v>
      </c>
      <c r="B1840" s="33" t="s">
        <v>1031</v>
      </c>
      <c r="C1840" s="33" t="s">
        <v>154</v>
      </c>
      <c r="D1840" s="29">
        <v>2.0</v>
      </c>
      <c r="E1840" s="30">
        <v>3502.0</v>
      </c>
      <c r="F1840" s="25" t="s">
        <v>10</v>
      </c>
      <c r="G1840" s="26">
        <v>45973.0</v>
      </c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 ht="14.25" customHeight="1">
      <c r="A1841" s="36">
        <v>45973.0</v>
      </c>
      <c r="B1841" s="33" t="s">
        <v>744</v>
      </c>
      <c r="C1841" s="33" t="s">
        <v>126</v>
      </c>
      <c r="D1841" s="29">
        <v>2.0</v>
      </c>
      <c r="E1841" s="41">
        <v>1340.0</v>
      </c>
      <c r="F1841" s="25" t="s">
        <v>10</v>
      </c>
      <c r="G1841" s="38">
        <v>46090.0</v>
      </c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 ht="14.25" customHeight="1">
      <c r="A1842" s="36">
        <v>45973.0</v>
      </c>
      <c r="B1842" s="33" t="s">
        <v>615</v>
      </c>
      <c r="C1842" s="33" t="s">
        <v>138</v>
      </c>
      <c r="D1842" s="29">
        <v>1.0</v>
      </c>
      <c r="E1842" s="30">
        <v>1900.0</v>
      </c>
      <c r="F1842" s="25" t="s">
        <v>10</v>
      </c>
      <c r="G1842" s="26">
        <v>45973.0</v>
      </c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 ht="14.25" customHeight="1">
      <c r="A1843" s="36">
        <v>45973.0</v>
      </c>
      <c r="B1843" s="33" t="s">
        <v>1084</v>
      </c>
      <c r="C1843" s="33" t="s">
        <v>138</v>
      </c>
      <c r="D1843" s="29">
        <v>2.0</v>
      </c>
      <c r="E1843" s="30">
        <v>3300.0</v>
      </c>
      <c r="F1843" s="25" t="s">
        <v>10</v>
      </c>
      <c r="G1843" s="26">
        <v>45974.0</v>
      </c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 ht="14.25" customHeight="1">
      <c r="A1844" s="36">
        <v>45973.0</v>
      </c>
      <c r="B1844" s="33" t="s">
        <v>1085</v>
      </c>
      <c r="C1844" s="33" t="s">
        <v>133</v>
      </c>
      <c r="D1844" s="29">
        <v>2.0</v>
      </c>
      <c r="E1844" s="41">
        <v>2400.0</v>
      </c>
      <c r="F1844" s="25" t="s">
        <v>10</v>
      </c>
      <c r="G1844" s="26">
        <v>46001.0</v>
      </c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 ht="14.25" customHeight="1">
      <c r="A1845" s="36">
        <v>45973.0</v>
      </c>
      <c r="B1845" s="33" t="s">
        <v>1086</v>
      </c>
      <c r="C1845" s="33" t="s">
        <v>325</v>
      </c>
      <c r="D1845" s="29">
        <v>2.0</v>
      </c>
      <c r="E1845" s="30">
        <v>2100.0</v>
      </c>
      <c r="F1845" s="25" t="s">
        <v>10</v>
      </c>
      <c r="G1845" s="38">
        <v>45688.0</v>
      </c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 ht="14.25" customHeight="1">
      <c r="A1846" s="36">
        <v>45974.0</v>
      </c>
      <c r="B1846" s="33" t="s">
        <v>1087</v>
      </c>
      <c r="C1846" s="33" t="s">
        <v>9</v>
      </c>
      <c r="D1846" s="29">
        <v>1.0</v>
      </c>
      <c r="E1846" s="30">
        <v>1300.0</v>
      </c>
      <c r="F1846" s="25" t="s">
        <v>10</v>
      </c>
      <c r="G1846" s="26">
        <v>45974.0</v>
      </c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 ht="14.25" customHeight="1">
      <c r="A1847" s="36">
        <v>45975.0</v>
      </c>
      <c r="B1847" s="33" t="s">
        <v>1088</v>
      </c>
      <c r="C1847" s="33" t="s">
        <v>126</v>
      </c>
      <c r="D1847" s="29">
        <v>2.0</v>
      </c>
      <c r="E1847" s="41">
        <v>4300.0</v>
      </c>
      <c r="F1847" s="25" t="s">
        <v>10</v>
      </c>
      <c r="G1847" s="38">
        <v>46090.0</v>
      </c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 ht="14.25" customHeight="1">
      <c r="A1848" s="36">
        <v>45975.0</v>
      </c>
      <c r="B1848" s="33" t="s">
        <v>1089</v>
      </c>
      <c r="C1848" s="33" t="s">
        <v>133</v>
      </c>
      <c r="D1848" s="29">
        <v>4.0</v>
      </c>
      <c r="E1848" s="30">
        <v>4680.0</v>
      </c>
      <c r="F1848" s="25" t="s">
        <v>10</v>
      </c>
      <c r="G1848" s="26">
        <v>45980.0</v>
      </c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 ht="14.25" customHeight="1">
      <c r="A1849" s="36">
        <v>45976.0</v>
      </c>
      <c r="B1849" s="33" t="s">
        <v>214</v>
      </c>
      <c r="C1849" s="33" t="s">
        <v>9</v>
      </c>
      <c r="D1849" s="29">
        <v>4.0</v>
      </c>
      <c r="E1849" s="30">
        <v>5400.0</v>
      </c>
      <c r="F1849" s="25" t="s">
        <v>10</v>
      </c>
      <c r="G1849" s="26">
        <v>45980.0</v>
      </c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 ht="14.25" customHeight="1">
      <c r="A1850" s="36">
        <v>45976.0</v>
      </c>
      <c r="B1850" s="33" t="s">
        <v>615</v>
      </c>
      <c r="C1850" s="33" t="s">
        <v>138</v>
      </c>
      <c r="D1850" s="29">
        <v>4.0</v>
      </c>
      <c r="E1850" s="30">
        <v>7600.0</v>
      </c>
      <c r="F1850" s="25" t="s">
        <v>10</v>
      </c>
      <c r="G1850" s="26">
        <v>45976.0</v>
      </c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 ht="14.25" customHeight="1">
      <c r="A1851" s="36">
        <v>45976.0</v>
      </c>
      <c r="B1851" s="33" t="s">
        <v>287</v>
      </c>
      <c r="C1851" s="33" t="s">
        <v>9</v>
      </c>
      <c r="D1851" s="29">
        <v>2.0</v>
      </c>
      <c r="E1851" s="30">
        <v>2560.0</v>
      </c>
      <c r="F1851" s="25" t="s">
        <v>222</v>
      </c>
      <c r="G1851" s="26">
        <v>45982.0</v>
      </c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 ht="14.25" customHeight="1">
      <c r="A1852" s="36">
        <v>45976.0</v>
      </c>
      <c r="B1852" s="33" t="s">
        <v>1090</v>
      </c>
      <c r="C1852" s="33" t="s">
        <v>126</v>
      </c>
      <c r="D1852" s="29">
        <v>2.0</v>
      </c>
      <c r="E1852" s="41">
        <v>4000.0</v>
      </c>
      <c r="F1852" s="25" t="s">
        <v>10</v>
      </c>
      <c r="G1852" s="38">
        <v>46090.0</v>
      </c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 ht="14.25" customHeight="1">
      <c r="A1853" s="36">
        <v>45978.0</v>
      </c>
      <c r="B1853" s="33" t="s">
        <v>1091</v>
      </c>
      <c r="C1853" s="33" t="s">
        <v>133</v>
      </c>
      <c r="D1853" s="29">
        <v>1.0</v>
      </c>
      <c r="E1853" s="30">
        <v>1470.0</v>
      </c>
      <c r="F1853" s="25" t="s">
        <v>10</v>
      </c>
      <c r="G1853" s="26">
        <v>45980.0</v>
      </c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 ht="14.25" customHeight="1">
      <c r="A1854" s="36">
        <v>45978.0</v>
      </c>
      <c r="B1854" s="33" t="s">
        <v>1015</v>
      </c>
      <c r="C1854" s="33" t="s">
        <v>143</v>
      </c>
      <c r="D1854" s="29">
        <v>2.0</v>
      </c>
      <c r="E1854" s="41">
        <v>2700.0</v>
      </c>
      <c r="F1854" s="25" t="s">
        <v>10</v>
      </c>
      <c r="G1854" s="38">
        <v>46072.0</v>
      </c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 ht="14.25" customHeight="1">
      <c r="A1855" s="36">
        <v>45978.0</v>
      </c>
      <c r="B1855" s="33" t="s">
        <v>369</v>
      </c>
      <c r="C1855" s="33" t="s">
        <v>9</v>
      </c>
      <c r="D1855" s="29">
        <v>2.0</v>
      </c>
      <c r="E1855" s="30">
        <v>1360.0</v>
      </c>
      <c r="F1855" s="25" t="s">
        <v>10</v>
      </c>
      <c r="G1855" s="26">
        <v>45980.0</v>
      </c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 ht="14.25" customHeight="1">
      <c r="A1856" s="36">
        <v>45980.0</v>
      </c>
      <c r="B1856" s="33" t="s">
        <v>369</v>
      </c>
      <c r="C1856" s="33" t="s">
        <v>9</v>
      </c>
      <c r="D1856" s="29">
        <v>2.0</v>
      </c>
      <c r="E1856" s="30">
        <v>1360.0</v>
      </c>
      <c r="F1856" s="25" t="s">
        <v>10</v>
      </c>
      <c r="G1856" s="26">
        <v>45981.0</v>
      </c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 ht="14.25" customHeight="1">
      <c r="A1857" s="36">
        <v>45980.0</v>
      </c>
      <c r="B1857" s="33" t="s">
        <v>214</v>
      </c>
      <c r="C1857" s="33" t="s">
        <v>9</v>
      </c>
      <c r="D1857" s="29">
        <v>2.0</v>
      </c>
      <c r="E1857" s="30">
        <v>2700.0</v>
      </c>
      <c r="F1857" s="25" t="s">
        <v>10</v>
      </c>
      <c r="G1857" s="26">
        <v>45981.0</v>
      </c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 ht="14.25" customHeight="1">
      <c r="A1858" s="36">
        <v>45980.0</v>
      </c>
      <c r="B1858" s="33" t="s">
        <v>803</v>
      </c>
      <c r="C1858" s="33" t="s">
        <v>711</v>
      </c>
      <c r="D1858" s="29">
        <v>4.0</v>
      </c>
      <c r="E1858" s="30">
        <v>4400.0</v>
      </c>
      <c r="F1858" s="25" t="s">
        <v>10</v>
      </c>
      <c r="G1858" s="26">
        <v>45980.0</v>
      </c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 ht="14.25" customHeight="1">
      <c r="A1859" s="36">
        <v>45980.0</v>
      </c>
      <c r="B1859" s="33" t="s">
        <v>1092</v>
      </c>
      <c r="C1859" s="33" t="s">
        <v>138</v>
      </c>
      <c r="D1859" s="29">
        <v>4.0</v>
      </c>
      <c r="E1859" s="30">
        <v>1920.0</v>
      </c>
      <c r="F1859" s="25" t="s">
        <v>10</v>
      </c>
      <c r="G1859" s="26">
        <v>45980.0</v>
      </c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 ht="14.25" customHeight="1">
      <c r="A1860" s="36">
        <v>45980.0</v>
      </c>
      <c r="B1860" s="33" t="s">
        <v>876</v>
      </c>
      <c r="C1860" s="33" t="s">
        <v>138</v>
      </c>
      <c r="D1860" s="29">
        <v>2.0</v>
      </c>
      <c r="E1860" s="30">
        <v>1210.0</v>
      </c>
      <c r="F1860" s="25" t="s">
        <v>10</v>
      </c>
      <c r="G1860" s="26">
        <v>45980.0</v>
      </c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 ht="14.25" customHeight="1">
      <c r="A1861" s="36">
        <v>45980.0</v>
      </c>
      <c r="B1861" s="33" t="s">
        <v>258</v>
      </c>
      <c r="C1861" s="33" t="s">
        <v>138</v>
      </c>
      <c r="D1861" s="29">
        <v>2.0</v>
      </c>
      <c r="E1861" s="30">
        <v>940.0</v>
      </c>
      <c r="F1861" s="25" t="s">
        <v>10</v>
      </c>
      <c r="G1861" s="26">
        <v>45980.0</v>
      </c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 ht="14.25" customHeight="1">
      <c r="A1862" s="36">
        <v>45980.0</v>
      </c>
      <c r="B1862" s="33" t="s">
        <v>835</v>
      </c>
      <c r="C1862" s="33" t="s">
        <v>133</v>
      </c>
      <c r="D1862" s="29">
        <v>4.0</v>
      </c>
      <c r="E1862" s="30">
        <v>5600.0</v>
      </c>
      <c r="F1862" s="25" t="s">
        <v>10</v>
      </c>
      <c r="G1862" s="26">
        <v>45981.0</v>
      </c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 ht="14.25" customHeight="1">
      <c r="A1863" s="36">
        <v>45980.0</v>
      </c>
      <c r="B1863" s="33" t="s">
        <v>859</v>
      </c>
      <c r="C1863" s="33" t="s">
        <v>126</v>
      </c>
      <c r="D1863" s="29">
        <v>2.0</v>
      </c>
      <c r="E1863" s="41">
        <v>1600.0</v>
      </c>
      <c r="F1863" s="25" t="s">
        <v>10</v>
      </c>
      <c r="G1863" s="38">
        <v>46090.0</v>
      </c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 ht="14.25" customHeight="1">
      <c r="A1864" s="36">
        <v>45980.0</v>
      </c>
      <c r="B1864" s="33" t="s">
        <v>1072</v>
      </c>
      <c r="C1864" s="33" t="s">
        <v>126</v>
      </c>
      <c r="D1864" s="29">
        <v>4.0</v>
      </c>
      <c r="E1864" s="41">
        <v>3520.0</v>
      </c>
      <c r="F1864" s="25" t="s">
        <v>10</v>
      </c>
      <c r="G1864" s="38">
        <v>46090.0</v>
      </c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 ht="14.25" customHeight="1">
      <c r="A1865" s="36">
        <v>45980.0</v>
      </c>
      <c r="B1865" s="33" t="s">
        <v>898</v>
      </c>
      <c r="C1865" s="33" t="s">
        <v>133</v>
      </c>
      <c r="D1865" s="29">
        <v>2.0</v>
      </c>
      <c r="E1865" s="41">
        <v>2400.0</v>
      </c>
      <c r="F1865" s="25" t="s">
        <v>10</v>
      </c>
      <c r="G1865" s="26">
        <v>46001.0</v>
      </c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 ht="14.25" customHeight="1">
      <c r="A1866" s="36">
        <v>45981.0</v>
      </c>
      <c r="B1866" s="33" t="s">
        <v>787</v>
      </c>
      <c r="C1866" s="33" t="s">
        <v>143</v>
      </c>
      <c r="D1866" s="29">
        <v>2.0</v>
      </c>
      <c r="E1866" s="41">
        <v>2800.0</v>
      </c>
      <c r="F1866" s="25" t="s">
        <v>10</v>
      </c>
      <c r="G1866" s="38">
        <v>46072.0</v>
      </c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 ht="14.25" customHeight="1">
      <c r="A1867" s="36">
        <v>45981.0</v>
      </c>
      <c r="B1867" s="33" t="s">
        <v>1093</v>
      </c>
      <c r="C1867" s="33" t="s">
        <v>154</v>
      </c>
      <c r="D1867" s="29">
        <v>2.0</v>
      </c>
      <c r="E1867" s="30">
        <v>968.0</v>
      </c>
      <c r="F1867" s="25" t="s">
        <v>10</v>
      </c>
      <c r="G1867" s="26">
        <v>45981.0</v>
      </c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 ht="14.25" customHeight="1">
      <c r="A1868" s="36">
        <v>45981.0</v>
      </c>
      <c r="B1868" s="33" t="s">
        <v>262</v>
      </c>
      <c r="C1868" s="33" t="s">
        <v>138</v>
      </c>
      <c r="D1868" s="29">
        <v>2.0</v>
      </c>
      <c r="E1868" s="30">
        <v>3300.0</v>
      </c>
      <c r="F1868" s="25" t="s">
        <v>10</v>
      </c>
      <c r="G1868" s="26">
        <v>45981.0</v>
      </c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 ht="14.25" customHeight="1">
      <c r="A1869" s="36">
        <v>45982.0</v>
      </c>
      <c r="B1869" s="33" t="s">
        <v>1094</v>
      </c>
      <c r="C1869" s="33" t="s">
        <v>138</v>
      </c>
      <c r="D1869" s="29">
        <v>4.0</v>
      </c>
      <c r="E1869" s="30">
        <v>1880.0</v>
      </c>
      <c r="F1869" s="25" t="s">
        <v>10</v>
      </c>
      <c r="G1869" s="26">
        <v>45982.0</v>
      </c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 ht="14.25" customHeight="1">
      <c r="A1870" s="36">
        <v>45982.0</v>
      </c>
      <c r="B1870" s="33" t="s">
        <v>1095</v>
      </c>
      <c r="C1870" s="33" t="s">
        <v>138</v>
      </c>
      <c r="D1870" s="29">
        <v>1.0</v>
      </c>
      <c r="E1870" s="30">
        <v>1900.0</v>
      </c>
      <c r="F1870" s="25" t="s">
        <v>10</v>
      </c>
      <c r="G1870" s="26">
        <v>45982.0</v>
      </c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 ht="14.25" customHeight="1">
      <c r="A1871" s="36">
        <v>45983.0</v>
      </c>
      <c r="B1871" s="33" t="s">
        <v>217</v>
      </c>
      <c r="C1871" s="33" t="s">
        <v>83</v>
      </c>
      <c r="D1871" s="29">
        <v>1.0</v>
      </c>
      <c r="E1871" s="30">
        <v>1500.0</v>
      </c>
      <c r="F1871" s="25" t="s">
        <v>10</v>
      </c>
      <c r="G1871" s="26">
        <v>45983.0</v>
      </c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 ht="14.25" customHeight="1">
      <c r="A1872" s="36">
        <v>45985.0</v>
      </c>
      <c r="B1872" s="33" t="s">
        <v>1096</v>
      </c>
      <c r="C1872" s="33" t="s">
        <v>138</v>
      </c>
      <c r="D1872" s="29">
        <v>2.0</v>
      </c>
      <c r="E1872" s="30">
        <v>4700.0</v>
      </c>
      <c r="F1872" s="25" t="s">
        <v>10</v>
      </c>
      <c r="G1872" s="26">
        <v>45985.0</v>
      </c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 ht="14.25" customHeight="1">
      <c r="A1873" s="36">
        <v>45985.0</v>
      </c>
      <c r="B1873" s="33" t="s">
        <v>772</v>
      </c>
      <c r="C1873" s="33" t="s">
        <v>9</v>
      </c>
      <c r="D1873" s="29">
        <v>2.0</v>
      </c>
      <c r="E1873" s="30">
        <v>3200.0</v>
      </c>
      <c r="F1873" s="25" t="s">
        <v>10</v>
      </c>
      <c r="G1873" s="26">
        <v>45987.0</v>
      </c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 ht="14.25" customHeight="1">
      <c r="A1874" s="36">
        <v>45985.0</v>
      </c>
      <c r="B1874" s="33" t="s">
        <v>330</v>
      </c>
      <c r="C1874" s="33" t="s">
        <v>9</v>
      </c>
      <c r="D1874" s="29">
        <v>1.0</v>
      </c>
      <c r="E1874" s="30">
        <v>850.0</v>
      </c>
      <c r="F1874" s="25" t="s">
        <v>10</v>
      </c>
      <c r="G1874" s="26">
        <v>45987.0</v>
      </c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 ht="14.25" customHeight="1">
      <c r="A1875" s="36">
        <v>45986.0</v>
      </c>
      <c r="B1875" s="33" t="s">
        <v>707</v>
      </c>
      <c r="C1875" s="33" t="s">
        <v>133</v>
      </c>
      <c r="D1875" s="29">
        <v>4.0</v>
      </c>
      <c r="E1875" s="30">
        <v>5120.0</v>
      </c>
      <c r="F1875" s="25" t="s">
        <v>10</v>
      </c>
      <c r="G1875" s="26">
        <v>45987.0</v>
      </c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 ht="14.25" customHeight="1">
      <c r="A1876" s="36">
        <v>45986.0</v>
      </c>
      <c r="B1876" s="33" t="s">
        <v>1097</v>
      </c>
      <c r="C1876" s="33" t="s">
        <v>143</v>
      </c>
      <c r="D1876" s="29">
        <v>4.0</v>
      </c>
      <c r="E1876" s="41">
        <v>5400.0</v>
      </c>
      <c r="F1876" s="25" t="s">
        <v>10</v>
      </c>
      <c r="G1876" s="38">
        <v>46072.0</v>
      </c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 ht="14.25" customHeight="1">
      <c r="A1877" s="36">
        <v>45987.0</v>
      </c>
      <c r="B1877" s="33" t="s">
        <v>239</v>
      </c>
      <c r="C1877" s="33" t="s">
        <v>9</v>
      </c>
      <c r="D1877" s="29">
        <v>1.0</v>
      </c>
      <c r="E1877" s="30">
        <v>1130.0</v>
      </c>
      <c r="F1877" s="25" t="s">
        <v>10</v>
      </c>
      <c r="G1877" s="26">
        <v>45987.0</v>
      </c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 ht="14.25" customHeight="1">
      <c r="A1878" s="36">
        <v>45987.0</v>
      </c>
      <c r="B1878" s="33" t="s">
        <v>744</v>
      </c>
      <c r="C1878" s="33" t="s">
        <v>126</v>
      </c>
      <c r="D1878" s="29">
        <v>2.0</v>
      </c>
      <c r="E1878" s="41">
        <v>1340.0</v>
      </c>
      <c r="F1878" s="25" t="s">
        <v>10</v>
      </c>
      <c r="G1878" s="38">
        <v>46090.0</v>
      </c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 ht="14.25" customHeight="1">
      <c r="A1879" s="36">
        <v>45987.0</v>
      </c>
      <c r="B1879" s="33" t="s">
        <v>200</v>
      </c>
      <c r="C1879" s="33" t="s">
        <v>143</v>
      </c>
      <c r="D1879" s="29">
        <v>4.0</v>
      </c>
      <c r="E1879" s="41">
        <v>2800.0</v>
      </c>
      <c r="F1879" s="25" t="s">
        <v>10</v>
      </c>
      <c r="G1879" s="38">
        <v>46072.0</v>
      </c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 ht="14.25" customHeight="1">
      <c r="A1880" s="36">
        <v>45988.0</v>
      </c>
      <c r="B1880" s="33" t="s">
        <v>1098</v>
      </c>
      <c r="C1880" s="33" t="s">
        <v>9</v>
      </c>
      <c r="D1880" s="29">
        <v>4.0</v>
      </c>
      <c r="E1880" s="30">
        <v>6200.0</v>
      </c>
      <c r="F1880" s="25" t="s">
        <v>10</v>
      </c>
      <c r="G1880" s="26">
        <v>46001.0</v>
      </c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 ht="14.25" customHeight="1">
      <c r="A1881" s="36">
        <v>45988.0</v>
      </c>
      <c r="B1881" s="33" t="s">
        <v>1057</v>
      </c>
      <c r="C1881" s="33" t="s">
        <v>154</v>
      </c>
      <c r="D1881" s="29">
        <v>1.0</v>
      </c>
      <c r="E1881" s="30">
        <v>695.0</v>
      </c>
      <c r="F1881" s="25" t="s">
        <v>10</v>
      </c>
      <c r="G1881" s="26">
        <v>45988.0</v>
      </c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 ht="14.25" customHeight="1">
      <c r="A1882" s="36">
        <v>45988.0</v>
      </c>
      <c r="B1882" s="33" t="s">
        <v>118</v>
      </c>
      <c r="C1882" s="33" t="s">
        <v>9</v>
      </c>
      <c r="D1882" s="29">
        <v>1.0</v>
      </c>
      <c r="E1882" s="30">
        <v>820.0</v>
      </c>
      <c r="F1882" s="25" t="s">
        <v>10</v>
      </c>
      <c r="G1882" s="26">
        <v>45994.0</v>
      </c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 ht="14.25" customHeight="1">
      <c r="A1883" s="36">
        <v>45988.0</v>
      </c>
      <c r="B1883" s="33" t="s">
        <v>370</v>
      </c>
      <c r="C1883" s="33" t="s">
        <v>9</v>
      </c>
      <c r="D1883" s="29">
        <v>1.0</v>
      </c>
      <c r="E1883" s="30">
        <v>1050.0</v>
      </c>
      <c r="F1883" s="25" t="s">
        <v>10</v>
      </c>
      <c r="G1883" s="38">
        <v>45994.0</v>
      </c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 ht="14.25" customHeight="1">
      <c r="A1884" s="36">
        <v>45989.0</v>
      </c>
      <c r="B1884" s="33" t="s">
        <v>484</v>
      </c>
      <c r="C1884" s="33" t="s">
        <v>138</v>
      </c>
      <c r="D1884" s="29">
        <v>4.0</v>
      </c>
      <c r="E1884" s="30">
        <v>4300.0</v>
      </c>
      <c r="F1884" s="25" t="s">
        <v>10</v>
      </c>
      <c r="G1884" s="26">
        <v>45989.0</v>
      </c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 ht="14.25" customHeight="1">
      <c r="A1885" s="36">
        <v>45989.0</v>
      </c>
      <c r="B1885" s="33" t="s">
        <v>763</v>
      </c>
      <c r="C1885" s="33" t="s">
        <v>9</v>
      </c>
      <c r="D1885" s="29">
        <v>1.0</v>
      </c>
      <c r="E1885" s="30">
        <v>830.0</v>
      </c>
      <c r="F1885" s="25" t="s">
        <v>10</v>
      </c>
      <c r="G1885" s="38">
        <v>45994.0</v>
      </c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 ht="14.25" customHeight="1">
      <c r="A1886" s="36">
        <v>45987.0</v>
      </c>
      <c r="B1886" s="33" t="s">
        <v>1099</v>
      </c>
      <c r="C1886" s="33" t="s">
        <v>325</v>
      </c>
      <c r="D1886" s="29">
        <v>4.0</v>
      </c>
      <c r="E1886" s="30">
        <v>6200.0</v>
      </c>
      <c r="F1886" s="25" t="s">
        <v>10</v>
      </c>
      <c r="G1886" s="38">
        <v>45688.0</v>
      </c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 ht="14.25" customHeight="1">
      <c r="A1887" s="36">
        <v>45989.0</v>
      </c>
      <c r="B1887" s="33" t="s">
        <v>941</v>
      </c>
      <c r="C1887" s="33" t="s">
        <v>325</v>
      </c>
      <c r="D1887" s="29">
        <v>4.0</v>
      </c>
      <c r="E1887" s="30">
        <v>7320.0</v>
      </c>
      <c r="F1887" s="25" t="s">
        <v>10</v>
      </c>
      <c r="G1887" s="38">
        <v>45688.0</v>
      </c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 ht="14.25" customHeight="1">
      <c r="A1888" s="36">
        <v>45989.0</v>
      </c>
      <c r="B1888" s="33" t="s">
        <v>500</v>
      </c>
      <c r="C1888" s="33" t="s">
        <v>133</v>
      </c>
      <c r="D1888" s="29">
        <v>1.0</v>
      </c>
      <c r="E1888" s="41">
        <v>650.0</v>
      </c>
      <c r="F1888" s="25" t="s">
        <v>10</v>
      </c>
      <c r="G1888" s="26">
        <v>46001.0</v>
      </c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 ht="14.25" customHeight="1">
      <c r="A1889" s="40">
        <v>45993.0</v>
      </c>
      <c r="B1889" s="33" t="s">
        <v>589</v>
      </c>
      <c r="C1889" s="33" t="s">
        <v>138</v>
      </c>
      <c r="D1889" s="29">
        <v>2.0</v>
      </c>
      <c r="E1889" s="30">
        <v>2300.0</v>
      </c>
      <c r="F1889" s="25" t="s">
        <v>10</v>
      </c>
      <c r="G1889" s="38">
        <v>45993.0</v>
      </c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 ht="14.25" customHeight="1">
      <c r="A1890" s="40">
        <v>45993.0</v>
      </c>
      <c r="B1890" s="33" t="s">
        <v>612</v>
      </c>
      <c r="C1890" s="33" t="s">
        <v>143</v>
      </c>
      <c r="D1890" s="29">
        <v>2.0</v>
      </c>
      <c r="E1890" s="30">
        <v>2700.0</v>
      </c>
      <c r="F1890" s="25" t="s">
        <v>122</v>
      </c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 ht="14.25" customHeight="1">
      <c r="A1891" s="40">
        <v>45993.0</v>
      </c>
      <c r="B1891" s="33" t="s">
        <v>448</v>
      </c>
      <c r="C1891" s="33" t="s">
        <v>133</v>
      </c>
      <c r="D1891" s="29">
        <v>4.0</v>
      </c>
      <c r="E1891" s="30">
        <v>8000.0</v>
      </c>
      <c r="F1891" s="25" t="s">
        <v>10</v>
      </c>
      <c r="G1891" s="26">
        <v>46022.0</v>
      </c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 ht="14.25" customHeight="1">
      <c r="A1892" s="40">
        <v>45993.0</v>
      </c>
      <c r="B1892" s="33" t="s">
        <v>273</v>
      </c>
      <c r="C1892" s="33" t="s">
        <v>128</v>
      </c>
      <c r="D1892" s="29">
        <v>1.0</v>
      </c>
      <c r="E1892" s="30">
        <v>780.0</v>
      </c>
      <c r="F1892" s="25" t="s">
        <v>10</v>
      </c>
      <c r="G1892" s="38">
        <v>45993.0</v>
      </c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 ht="14.25" customHeight="1">
      <c r="A1893" s="40">
        <v>45994.0</v>
      </c>
      <c r="B1893" s="33" t="s">
        <v>40</v>
      </c>
      <c r="C1893" s="33" t="s">
        <v>9</v>
      </c>
      <c r="D1893" s="29">
        <v>1.0</v>
      </c>
      <c r="E1893" s="30">
        <v>1750.0</v>
      </c>
      <c r="F1893" s="25" t="s">
        <v>10</v>
      </c>
      <c r="G1893" s="38">
        <v>45995.0</v>
      </c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 ht="14.25" customHeight="1">
      <c r="A1894" s="40">
        <v>45994.0</v>
      </c>
      <c r="B1894" s="33" t="s">
        <v>19</v>
      </c>
      <c r="C1894" s="33" t="s">
        <v>126</v>
      </c>
      <c r="D1894" s="29">
        <v>2.0</v>
      </c>
      <c r="E1894" s="30">
        <v>2660.0</v>
      </c>
      <c r="F1894" s="25" t="s">
        <v>122</v>
      </c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 ht="14.25" customHeight="1">
      <c r="A1895" s="40">
        <v>45994.0</v>
      </c>
      <c r="B1895" s="33" t="s">
        <v>575</v>
      </c>
      <c r="C1895" s="33" t="s">
        <v>9</v>
      </c>
      <c r="D1895" s="29">
        <v>4.0</v>
      </c>
      <c r="E1895" s="30">
        <v>4600.0</v>
      </c>
      <c r="F1895" s="25" t="s">
        <v>10</v>
      </c>
      <c r="G1895" s="26">
        <v>46001.0</v>
      </c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 ht="14.25" customHeight="1">
      <c r="A1896" s="40">
        <v>45995.0</v>
      </c>
      <c r="B1896" s="33" t="s">
        <v>258</v>
      </c>
      <c r="C1896" s="33" t="s">
        <v>9</v>
      </c>
      <c r="D1896" s="29">
        <v>2.0</v>
      </c>
      <c r="E1896" s="30">
        <v>920.0</v>
      </c>
      <c r="F1896" s="25" t="s">
        <v>10</v>
      </c>
      <c r="G1896" s="38">
        <v>45995.0</v>
      </c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 ht="14.25" customHeight="1">
      <c r="A1897" s="40">
        <v>45995.0</v>
      </c>
      <c r="B1897" s="33" t="s">
        <v>927</v>
      </c>
      <c r="C1897" s="33" t="s">
        <v>133</v>
      </c>
      <c r="D1897" s="29">
        <v>2.0</v>
      </c>
      <c r="E1897" s="30">
        <v>1500.0</v>
      </c>
      <c r="F1897" s="25" t="s">
        <v>10</v>
      </c>
      <c r="G1897" s="26">
        <v>46022.0</v>
      </c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 ht="14.25" customHeight="1">
      <c r="A1898" s="40">
        <v>45995.0</v>
      </c>
      <c r="B1898" s="33" t="s">
        <v>1098</v>
      </c>
      <c r="C1898" s="33" t="s">
        <v>143</v>
      </c>
      <c r="D1898" s="29">
        <v>2.0</v>
      </c>
      <c r="E1898" s="30">
        <v>3100.0</v>
      </c>
      <c r="F1898" s="25" t="s">
        <v>122</v>
      </c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 ht="14.25" customHeight="1">
      <c r="A1899" s="40">
        <v>45995.0</v>
      </c>
      <c r="B1899" s="33" t="s">
        <v>464</v>
      </c>
      <c r="C1899" s="33" t="s">
        <v>126</v>
      </c>
      <c r="D1899" s="29">
        <v>4.0</v>
      </c>
      <c r="E1899" s="30">
        <v>3800.0</v>
      </c>
      <c r="F1899" s="25" t="s">
        <v>122</v>
      </c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 ht="14.25" customHeight="1">
      <c r="A1900" s="40">
        <v>45995.0</v>
      </c>
      <c r="B1900" s="33" t="s">
        <v>61</v>
      </c>
      <c r="C1900" s="33" t="s">
        <v>9</v>
      </c>
      <c r="D1900" s="29">
        <v>1.0</v>
      </c>
      <c r="E1900" s="30">
        <v>580.0</v>
      </c>
      <c r="F1900" s="25" t="s">
        <v>10</v>
      </c>
      <c r="G1900" s="38">
        <v>45995.0</v>
      </c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 ht="14.25" customHeight="1">
      <c r="A1901" s="40">
        <v>45996.0</v>
      </c>
      <c r="B1901" s="33" t="s">
        <v>589</v>
      </c>
      <c r="C1901" s="33" t="s">
        <v>138</v>
      </c>
      <c r="D1901" s="29">
        <v>4.0</v>
      </c>
      <c r="E1901" s="30">
        <v>4600.0</v>
      </c>
      <c r="F1901" s="25" t="s">
        <v>10</v>
      </c>
      <c r="G1901" s="26">
        <v>46001.0</v>
      </c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 ht="14.25" customHeight="1">
      <c r="A1902" s="40">
        <v>45996.0</v>
      </c>
      <c r="B1902" s="33" t="s">
        <v>840</v>
      </c>
      <c r="C1902" s="33" t="s">
        <v>133</v>
      </c>
      <c r="D1902" s="29">
        <v>2.0</v>
      </c>
      <c r="E1902" s="30">
        <v>1300.0</v>
      </c>
      <c r="F1902" s="25" t="s">
        <v>10</v>
      </c>
      <c r="G1902" s="26">
        <v>46022.0</v>
      </c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 ht="14.25" customHeight="1">
      <c r="A1903" s="40">
        <v>45996.0</v>
      </c>
      <c r="B1903" s="33" t="s">
        <v>1057</v>
      </c>
      <c r="C1903" s="33" t="s">
        <v>154</v>
      </c>
      <c r="D1903" s="29">
        <v>1.0</v>
      </c>
      <c r="E1903" s="30">
        <v>695.0</v>
      </c>
      <c r="F1903" s="25" t="s">
        <v>10</v>
      </c>
      <c r="G1903" s="26">
        <v>45996.0</v>
      </c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 ht="14.25" customHeight="1">
      <c r="A1904" s="40">
        <v>45996.0</v>
      </c>
      <c r="B1904" s="33" t="s">
        <v>273</v>
      </c>
      <c r="C1904" s="33" t="s">
        <v>126</v>
      </c>
      <c r="D1904" s="29">
        <v>1.0</v>
      </c>
      <c r="E1904" s="30">
        <v>850.0</v>
      </c>
      <c r="F1904" s="25" t="s">
        <v>122</v>
      </c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 ht="14.25" customHeight="1">
      <c r="A1905" s="40">
        <v>45996.0</v>
      </c>
      <c r="B1905" s="33" t="s">
        <v>300</v>
      </c>
      <c r="C1905" s="33" t="s">
        <v>133</v>
      </c>
      <c r="D1905" s="29">
        <v>4.0</v>
      </c>
      <c r="E1905" s="30">
        <v>2920.0</v>
      </c>
      <c r="F1905" s="25" t="s">
        <v>10</v>
      </c>
      <c r="G1905" s="26">
        <v>46022.0</v>
      </c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 ht="14.25" customHeight="1">
      <c r="A1906" s="40">
        <v>45996.0</v>
      </c>
      <c r="B1906" s="33" t="s">
        <v>19</v>
      </c>
      <c r="C1906" s="33" t="s">
        <v>126</v>
      </c>
      <c r="D1906" s="29">
        <v>2.0</v>
      </c>
      <c r="E1906" s="30">
        <v>2660.0</v>
      </c>
      <c r="F1906" s="25" t="s">
        <v>122</v>
      </c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 ht="14.25" customHeight="1">
      <c r="A1907" s="40">
        <v>45996.0</v>
      </c>
      <c r="B1907" s="33" t="s">
        <v>529</v>
      </c>
      <c r="C1907" s="33" t="s">
        <v>143</v>
      </c>
      <c r="D1907" s="29">
        <v>4.0</v>
      </c>
      <c r="E1907" s="30">
        <v>2480.0</v>
      </c>
      <c r="F1907" s="25" t="s">
        <v>122</v>
      </c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 ht="14.25" customHeight="1">
      <c r="A1908" s="40">
        <v>45997.0</v>
      </c>
      <c r="B1908" s="33" t="s">
        <v>200</v>
      </c>
      <c r="C1908" s="33" t="s">
        <v>126</v>
      </c>
      <c r="D1908" s="29">
        <v>4.0</v>
      </c>
      <c r="E1908" s="30">
        <v>2560.0</v>
      </c>
      <c r="F1908" s="25" t="s">
        <v>122</v>
      </c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 ht="14.25" customHeight="1">
      <c r="A1909" s="40">
        <v>45997.0</v>
      </c>
      <c r="B1909" s="33" t="s">
        <v>16</v>
      </c>
      <c r="C1909" s="33" t="s">
        <v>1100</v>
      </c>
      <c r="D1909" s="29">
        <v>2.0</v>
      </c>
      <c r="E1909" s="30">
        <v>2300.0</v>
      </c>
      <c r="F1909" s="25" t="s">
        <v>10</v>
      </c>
      <c r="G1909" s="38">
        <v>45997.0</v>
      </c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 ht="14.25" customHeight="1">
      <c r="A1910" s="40">
        <v>45997.0</v>
      </c>
      <c r="B1910" s="33" t="s">
        <v>1101</v>
      </c>
      <c r="C1910" s="33" t="s">
        <v>1100</v>
      </c>
      <c r="D1910" s="29">
        <v>1.0</v>
      </c>
      <c r="E1910" s="30">
        <v>1750.0</v>
      </c>
      <c r="F1910" s="25" t="s">
        <v>10</v>
      </c>
      <c r="G1910" s="38">
        <v>45997.0</v>
      </c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 ht="14.25" customHeight="1">
      <c r="A1911" s="40">
        <v>45997.0</v>
      </c>
      <c r="B1911" s="33" t="s">
        <v>922</v>
      </c>
      <c r="C1911" s="33" t="s">
        <v>136</v>
      </c>
      <c r="D1911" s="29">
        <v>1.0</v>
      </c>
      <c r="E1911" s="30">
        <v>920.0</v>
      </c>
      <c r="F1911" s="25" t="s">
        <v>10</v>
      </c>
      <c r="G1911" s="38">
        <v>45997.0</v>
      </c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 ht="14.25" customHeight="1">
      <c r="A1912" s="40">
        <v>45997.0</v>
      </c>
      <c r="B1912" s="33" t="s">
        <v>1102</v>
      </c>
      <c r="C1912" s="33" t="s">
        <v>143</v>
      </c>
      <c r="D1912" s="29">
        <v>2.0</v>
      </c>
      <c r="E1912" s="30">
        <v>2000.0</v>
      </c>
      <c r="F1912" s="25" t="s">
        <v>122</v>
      </c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 ht="14.25" customHeight="1">
      <c r="A1913" s="40">
        <v>45999.0</v>
      </c>
      <c r="B1913" s="33" t="s">
        <v>399</v>
      </c>
      <c r="C1913" s="33" t="s">
        <v>9</v>
      </c>
      <c r="D1913" s="29">
        <v>2.0</v>
      </c>
      <c r="E1913" s="30">
        <v>3500.0</v>
      </c>
      <c r="F1913" s="25" t="s">
        <v>10</v>
      </c>
      <c r="G1913" s="26">
        <v>46008.0</v>
      </c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 ht="14.25" customHeight="1">
      <c r="A1914" s="40">
        <v>45999.0</v>
      </c>
      <c r="B1914" s="33" t="s">
        <v>182</v>
      </c>
      <c r="C1914" s="33" t="s">
        <v>9</v>
      </c>
      <c r="D1914" s="29">
        <v>2.0</v>
      </c>
      <c r="E1914" s="30">
        <v>3400.0</v>
      </c>
      <c r="F1914" s="25" t="s">
        <v>10</v>
      </c>
      <c r="G1914" s="26">
        <v>46008.0</v>
      </c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 ht="14.25" customHeight="1">
      <c r="A1915" s="40">
        <v>45999.0</v>
      </c>
      <c r="B1915" s="33" t="s">
        <v>605</v>
      </c>
      <c r="C1915" s="33" t="s">
        <v>126</v>
      </c>
      <c r="D1915" s="29">
        <v>1.0</v>
      </c>
      <c r="E1915" s="30">
        <v>1650.0</v>
      </c>
      <c r="F1915" s="25" t="s">
        <v>122</v>
      </c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 ht="14.25" customHeight="1">
      <c r="A1916" s="40">
        <v>46000.0</v>
      </c>
      <c r="B1916" s="33" t="s">
        <v>273</v>
      </c>
      <c r="C1916" s="33" t="s">
        <v>128</v>
      </c>
      <c r="D1916" s="29">
        <v>2.0</v>
      </c>
      <c r="E1916" s="30">
        <v>1564.0</v>
      </c>
      <c r="F1916" s="25" t="s">
        <v>10</v>
      </c>
      <c r="G1916" s="38">
        <v>46000.0</v>
      </c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 ht="14.25" customHeight="1">
      <c r="A1917" s="40">
        <v>46000.0</v>
      </c>
      <c r="B1917" s="33" t="s">
        <v>200</v>
      </c>
      <c r="C1917" s="33" t="s">
        <v>126</v>
      </c>
      <c r="D1917" s="29">
        <v>4.0</v>
      </c>
      <c r="E1917" s="30">
        <v>2560.0</v>
      </c>
      <c r="F1917" s="25" t="s">
        <v>122</v>
      </c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 ht="14.25" customHeight="1">
      <c r="A1918" s="40">
        <v>46001.0</v>
      </c>
      <c r="B1918" s="33" t="s">
        <v>1057</v>
      </c>
      <c r="C1918" s="33" t="s">
        <v>9</v>
      </c>
      <c r="D1918" s="29">
        <v>1.0</v>
      </c>
      <c r="E1918" s="30">
        <v>750.0</v>
      </c>
      <c r="F1918" s="25" t="s">
        <v>10</v>
      </c>
      <c r="G1918" s="26">
        <v>46008.0</v>
      </c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 ht="14.25" customHeight="1">
      <c r="A1919" s="36">
        <v>46001.0</v>
      </c>
      <c r="B1919" s="33" t="s">
        <v>75</v>
      </c>
      <c r="C1919" s="33" t="s">
        <v>136</v>
      </c>
      <c r="D1919" s="29">
        <v>2.0</v>
      </c>
      <c r="E1919" s="30">
        <v>1700.0</v>
      </c>
      <c r="F1919" s="25" t="s">
        <v>10</v>
      </c>
      <c r="G1919" s="26">
        <v>46001.0</v>
      </c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 ht="14.25" customHeight="1">
      <c r="A1920" s="36">
        <v>46001.0</v>
      </c>
      <c r="B1920" s="33" t="s">
        <v>1103</v>
      </c>
      <c r="C1920" s="33" t="s">
        <v>138</v>
      </c>
      <c r="D1920" s="29">
        <v>4.0</v>
      </c>
      <c r="E1920" s="30">
        <v>1820.0</v>
      </c>
      <c r="F1920" s="25" t="s">
        <v>10</v>
      </c>
      <c r="G1920" s="26">
        <v>46001.0</v>
      </c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 ht="14.25" customHeight="1">
      <c r="A1921" s="36">
        <v>46002.0</v>
      </c>
      <c r="B1921" s="33" t="s">
        <v>722</v>
      </c>
      <c r="C1921" s="33" t="s">
        <v>126</v>
      </c>
      <c r="D1921" s="29">
        <v>6.0</v>
      </c>
      <c r="E1921" s="30">
        <v>6780.0</v>
      </c>
      <c r="F1921" s="25" t="s">
        <v>122</v>
      </c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 ht="14.25" customHeight="1">
      <c r="A1922" s="36">
        <v>46002.0</v>
      </c>
      <c r="B1922" s="33" t="s">
        <v>1104</v>
      </c>
      <c r="C1922" s="33" t="s">
        <v>138</v>
      </c>
      <c r="D1922" s="29">
        <v>2.0</v>
      </c>
      <c r="E1922" s="30">
        <v>1620.0</v>
      </c>
      <c r="F1922" s="25" t="s">
        <v>10</v>
      </c>
      <c r="G1922" s="26">
        <v>46002.0</v>
      </c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 ht="14.25" customHeight="1">
      <c r="A1923" s="36">
        <v>46002.0</v>
      </c>
      <c r="B1923" s="33" t="s">
        <v>1105</v>
      </c>
      <c r="C1923" s="33" t="s">
        <v>126</v>
      </c>
      <c r="D1923" s="29">
        <v>1.0</v>
      </c>
      <c r="E1923" s="30">
        <v>1680.0</v>
      </c>
      <c r="F1923" s="25" t="s">
        <v>122</v>
      </c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 ht="14.25" customHeight="1">
      <c r="A1924" s="36">
        <v>46003.0</v>
      </c>
      <c r="B1924" s="33" t="s">
        <v>1106</v>
      </c>
      <c r="C1924" s="33" t="s">
        <v>9</v>
      </c>
      <c r="D1924" s="29">
        <v>1.0</v>
      </c>
      <c r="E1924" s="30">
        <v>1000.0</v>
      </c>
      <c r="F1924" s="25" t="s">
        <v>10</v>
      </c>
      <c r="G1924" s="26">
        <v>46008.0</v>
      </c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 ht="14.25" customHeight="1">
      <c r="A1925" s="36">
        <v>46006.0</v>
      </c>
      <c r="B1925" s="33" t="s">
        <v>1107</v>
      </c>
      <c r="C1925" s="33" t="s">
        <v>154</v>
      </c>
      <c r="D1925" s="29">
        <v>4.0</v>
      </c>
      <c r="E1925" s="30">
        <v>2935.0</v>
      </c>
      <c r="F1925" s="25" t="s">
        <v>10</v>
      </c>
      <c r="G1925" s="26">
        <v>46006.0</v>
      </c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 ht="14.25" customHeight="1">
      <c r="A1926" s="36">
        <v>46008.0</v>
      </c>
      <c r="B1926" s="33" t="s">
        <v>1108</v>
      </c>
      <c r="C1926" s="33" t="s">
        <v>9</v>
      </c>
      <c r="D1926" s="29">
        <v>1.0</v>
      </c>
      <c r="E1926" s="30">
        <v>2250.0</v>
      </c>
      <c r="F1926" s="25" t="s">
        <v>10</v>
      </c>
      <c r="G1926" s="26">
        <v>46013.0</v>
      </c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 ht="14.25" customHeight="1">
      <c r="A1927" s="36">
        <v>46008.0</v>
      </c>
      <c r="B1927" s="33" t="s">
        <v>123</v>
      </c>
      <c r="C1927" s="33" t="s">
        <v>9</v>
      </c>
      <c r="D1927" s="29">
        <v>1.0</v>
      </c>
      <c r="E1927" s="30">
        <v>2600.0</v>
      </c>
      <c r="F1927" s="25" t="s">
        <v>10</v>
      </c>
      <c r="G1927" s="26">
        <v>46013.0</v>
      </c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 ht="14.25" customHeight="1">
      <c r="A1928" s="36">
        <v>46008.0</v>
      </c>
      <c r="B1928" s="33" t="s">
        <v>803</v>
      </c>
      <c r="C1928" s="33" t="s">
        <v>143</v>
      </c>
      <c r="D1928" s="29">
        <v>4.0</v>
      </c>
      <c r="E1928" s="30">
        <v>5200.0</v>
      </c>
      <c r="F1928" s="25" t="s">
        <v>122</v>
      </c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 ht="14.25" customHeight="1">
      <c r="A1929" s="36">
        <v>46008.0</v>
      </c>
      <c r="B1929" s="33" t="s">
        <v>1109</v>
      </c>
      <c r="C1929" s="33" t="s">
        <v>133</v>
      </c>
      <c r="D1929" s="29">
        <v>4.0</v>
      </c>
      <c r="E1929" s="30">
        <v>3600.0</v>
      </c>
      <c r="F1929" s="25" t="s">
        <v>10</v>
      </c>
      <c r="G1929" s="26">
        <v>46009.0</v>
      </c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 ht="14.25" customHeight="1">
      <c r="A1930" s="36">
        <v>46009.0</v>
      </c>
      <c r="B1930" s="33" t="s">
        <v>474</v>
      </c>
      <c r="C1930" s="33" t="s">
        <v>154</v>
      </c>
      <c r="D1930" s="29">
        <v>1.0</v>
      </c>
      <c r="E1930" s="30">
        <v>1443.0</v>
      </c>
      <c r="F1930" s="25" t="s">
        <v>10</v>
      </c>
      <c r="G1930" s="26">
        <v>46009.0</v>
      </c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 ht="14.25" customHeight="1">
      <c r="A1931" s="36">
        <v>46010.0</v>
      </c>
      <c r="B1931" s="33" t="s">
        <v>100</v>
      </c>
      <c r="C1931" s="33" t="s">
        <v>133</v>
      </c>
      <c r="D1931" s="29">
        <v>2.0</v>
      </c>
      <c r="E1931" s="30">
        <v>1500.0</v>
      </c>
      <c r="F1931" s="25" t="s">
        <v>10</v>
      </c>
      <c r="G1931" s="26">
        <v>46013.0</v>
      </c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 ht="14.25" customHeight="1">
      <c r="A1932" s="36">
        <v>46010.0</v>
      </c>
      <c r="B1932" s="33" t="s">
        <v>242</v>
      </c>
      <c r="C1932" s="33" t="s">
        <v>126</v>
      </c>
      <c r="D1932" s="29">
        <v>2.0</v>
      </c>
      <c r="E1932" s="30">
        <v>2360.0</v>
      </c>
      <c r="F1932" s="25" t="s">
        <v>122</v>
      </c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 ht="14.25" customHeight="1">
      <c r="A1933" s="36">
        <v>46010.0</v>
      </c>
      <c r="B1933" s="33" t="s">
        <v>461</v>
      </c>
      <c r="C1933" s="33" t="s">
        <v>126</v>
      </c>
      <c r="D1933" s="29">
        <v>3.0</v>
      </c>
      <c r="E1933" s="30">
        <v>3690.0</v>
      </c>
      <c r="F1933" s="25" t="s">
        <v>122</v>
      </c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 ht="14.25" customHeight="1">
      <c r="A1934" s="36">
        <v>46011.0</v>
      </c>
      <c r="B1934" s="33" t="s">
        <v>461</v>
      </c>
      <c r="C1934" s="33" t="s">
        <v>154</v>
      </c>
      <c r="D1934" s="29">
        <v>1.0</v>
      </c>
      <c r="E1934" s="30">
        <v>1200.0</v>
      </c>
      <c r="F1934" s="25" t="s">
        <v>10</v>
      </c>
      <c r="G1934" s="26">
        <v>46011.0</v>
      </c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 ht="14.25" customHeight="1">
      <c r="A1935" s="36">
        <v>46011.0</v>
      </c>
      <c r="B1935" s="33" t="s">
        <v>1110</v>
      </c>
      <c r="C1935" s="33" t="s">
        <v>711</v>
      </c>
      <c r="D1935" s="29">
        <v>1.0</v>
      </c>
      <c r="E1935" s="30">
        <v>600.0</v>
      </c>
      <c r="F1935" s="25" t="s">
        <v>10</v>
      </c>
      <c r="G1935" s="26">
        <v>46011.0</v>
      </c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 ht="14.25" customHeight="1">
      <c r="A1936" s="36">
        <v>46011.0</v>
      </c>
      <c r="B1936" s="33" t="s">
        <v>22</v>
      </c>
      <c r="C1936" s="33" t="s">
        <v>9</v>
      </c>
      <c r="D1936" s="29">
        <v>1.0</v>
      </c>
      <c r="E1936" s="30">
        <v>1280.0</v>
      </c>
      <c r="F1936" s="25" t="s">
        <v>10</v>
      </c>
      <c r="G1936" s="26">
        <v>46013.0</v>
      </c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 ht="14.25" customHeight="1">
      <c r="A1937" s="36">
        <v>46011.0</v>
      </c>
      <c r="B1937" s="33" t="s">
        <v>1111</v>
      </c>
      <c r="C1937" s="33" t="s">
        <v>83</v>
      </c>
      <c r="D1937" s="29">
        <v>1.0</v>
      </c>
      <c r="E1937" s="30">
        <v>4350.0</v>
      </c>
      <c r="F1937" s="25" t="s">
        <v>10</v>
      </c>
      <c r="G1937" s="26">
        <v>46014.0</v>
      </c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 ht="14.25" customHeight="1">
      <c r="A1938" s="36">
        <v>46013.0</v>
      </c>
      <c r="B1938" s="33" t="s">
        <v>64</v>
      </c>
      <c r="C1938" s="33" t="s">
        <v>9</v>
      </c>
      <c r="D1938" s="29">
        <v>4.0</v>
      </c>
      <c r="E1938" s="30">
        <v>2480.0</v>
      </c>
      <c r="F1938" s="25" t="s">
        <v>10</v>
      </c>
      <c r="G1938" s="26">
        <v>46014.0</v>
      </c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 ht="14.25" customHeight="1">
      <c r="A1939" s="36">
        <v>46013.0</v>
      </c>
      <c r="B1939" s="33" t="s">
        <v>1112</v>
      </c>
      <c r="C1939" s="33" t="s">
        <v>9</v>
      </c>
      <c r="D1939" s="29">
        <v>2.0</v>
      </c>
      <c r="E1939" s="30">
        <v>4800.0</v>
      </c>
      <c r="F1939" s="25" t="s">
        <v>222</v>
      </c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 ht="14.25" customHeight="1">
      <c r="A1940" s="36">
        <v>46013.0</v>
      </c>
      <c r="B1940" s="33" t="s">
        <v>1113</v>
      </c>
      <c r="C1940" s="33" t="s">
        <v>143</v>
      </c>
      <c r="D1940" s="29">
        <v>4.0</v>
      </c>
      <c r="E1940" s="30">
        <v>6400.0</v>
      </c>
      <c r="F1940" s="25" t="s">
        <v>122</v>
      </c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 ht="14.25" customHeight="1">
      <c r="A1941" s="36">
        <v>46013.0</v>
      </c>
      <c r="B1941" s="33" t="s">
        <v>214</v>
      </c>
      <c r="C1941" s="33" t="s">
        <v>9</v>
      </c>
      <c r="D1941" s="29">
        <v>1.0</v>
      </c>
      <c r="E1941" s="30">
        <v>1350.0</v>
      </c>
      <c r="F1941" s="25" t="s">
        <v>10</v>
      </c>
      <c r="G1941" s="26">
        <v>46016.0</v>
      </c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 ht="14.25" customHeight="1">
      <c r="A1942" s="36">
        <v>46014.0</v>
      </c>
      <c r="B1942" s="33" t="s">
        <v>467</v>
      </c>
      <c r="C1942" s="33" t="s">
        <v>143</v>
      </c>
      <c r="D1942" s="29">
        <v>2.0</v>
      </c>
      <c r="E1942" s="30">
        <v>2600.0</v>
      </c>
      <c r="F1942" s="25" t="s">
        <v>122</v>
      </c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 ht="14.25" customHeight="1">
      <c r="A1943" s="36">
        <v>46014.0</v>
      </c>
      <c r="B1943" s="33" t="s">
        <v>207</v>
      </c>
      <c r="C1943" s="33" t="s">
        <v>133</v>
      </c>
      <c r="D1943" s="29">
        <v>1.0</v>
      </c>
      <c r="E1943" s="30">
        <v>1150.0</v>
      </c>
      <c r="F1943" s="25" t="s">
        <v>10</v>
      </c>
      <c r="G1943" s="26">
        <v>46015.0</v>
      </c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 ht="14.25" customHeight="1">
      <c r="A1944" s="36">
        <v>46014.0</v>
      </c>
      <c r="B1944" s="33" t="s">
        <v>369</v>
      </c>
      <c r="C1944" s="33" t="s">
        <v>9</v>
      </c>
      <c r="D1944" s="29">
        <v>2.0</v>
      </c>
      <c r="E1944" s="30">
        <v>1360.0</v>
      </c>
      <c r="F1944" s="25" t="s">
        <v>10</v>
      </c>
      <c r="G1944" s="26">
        <v>46014.0</v>
      </c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 ht="14.25" customHeight="1">
      <c r="A1945" s="36">
        <v>46014.0</v>
      </c>
      <c r="B1945" s="33" t="s">
        <v>123</v>
      </c>
      <c r="C1945" s="33" t="s">
        <v>126</v>
      </c>
      <c r="D1945" s="29">
        <v>2.0</v>
      </c>
      <c r="E1945" s="30">
        <v>5300.0</v>
      </c>
      <c r="F1945" s="25" t="s">
        <v>122</v>
      </c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 ht="14.25" customHeight="1">
      <c r="A1946" s="36">
        <v>46014.0</v>
      </c>
      <c r="B1946" s="33" t="s">
        <v>831</v>
      </c>
      <c r="C1946" s="33" t="s">
        <v>138</v>
      </c>
      <c r="D1946" s="29">
        <v>1.0</v>
      </c>
      <c r="E1946" s="30">
        <v>2300.0</v>
      </c>
      <c r="F1946" s="25" t="s">
        <v>10</v>
      </c>
      <c r="G1946" s="26">
        <v>46014.0</v>
      </c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 ht="14.25" customHeight="1">
      <c r="A1947" s="36">
        <v>46014.0</v>
      </c>
      <c r="B1947" s="33" t="s">
        <v>1114</v>
      </c>
      <c r="C1947" s="33" t="s">
        <v>9</v>
      </c>
      <c r="D1947" s="29">
        <v>2.0</v>
      </c>
      <c r="E1947" s="30">
        <v>2960.0</v>
      </c>
      <c r="F1947" s="25" t="s">
        <v>10</v>
      </c>
      <c r="G1947" s="26">
        <v>46016.0</v>
      </c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 ht="14.25" customHeight="1">
      <c r="A1948" s="36">
        <v>46015.0</v>
      </c>
      <c r="B1948" s="33" t="s">
        <v>1115</v>
      </c>
      <c r="C1948" s="33" t="s">
        <v>143</v>
      </c>
      <c r="D1948" s="29">
        <v>1.0</v>
      </c>
      <c r="E1948" s="30">
        <v>1850.0</v>
      </c>
      <c r="F1948" s="25" t="s">
        <v>122</v>
      </c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 ht="14.25" customHeight="1">
      <c r="A1949" s="36">
        <v>46016.0</v>
      </c>
      <c r="B1949" s="33" t="s">
        <v>64</v>
      </c>
      <c r="C1949" s="33" t="s">
        <v>9</v>
      </c>
      <c r="D1949" s="29">
        <v>2.0</v>
      </c>
      <c r="E1949" s="30">
        <v>1240.0</v>
      </c>
      <c r="F1949" s="25" t="s">
        <v>10</v>
      </c>
      <c r="G1949" s="26">
        <v>46016.0</v>
      </c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 ht="14.25" customHeight="1">
      <c r="A1950" s="36">
        <v>46016.0</v>
      </c>
      <c r="B1950" s="33" t="s">
        <v>1116</v>
      </c>
      <c r="C1950" s="33" t="s">
        <v>9</v>
      </c>
      <c r="D1950" s="29">
        <v>1.0</v>
      </c>
      <c r="E1950" s="30">
        <v>1550.0</v>
      </c>
      <c r="F1950" s="25" t="s">
        <v>10</v>
      </c>
      <c r="G1950" s="26">
        <v>46016.0</v>
      </c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 ht="14.25" customHeight="1">
      <c r="A1951" s="36">
        <v>46016.0</v>
      </c>
      <c r="B1951" s="33" t="s">
        <v>100</v>
      </c>
      <c r="C1951" s="33" t="s">
        <v>133</v>
      </c>
      <c r="D1951" s="29">
        <v>4.0</v>
      </c>
      <c r="E1951" s="30">
        <v>3000.0</v>
      </c>
      <c r="F1951" s="25" t="s">
        <v>10</v>
      </c>
      <c r="G1951" s="26">
        <v>46017.0</v>
      </c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 ht="14.25" customHeight="1">
      <c r="A1952" s="36">
        <v>46016.0</v>
      </c>
      <c r="B1952" s="33" t="s">
        <v>1117</v>
      </c>
      <c r="C1952" s="33" t="s">
        <v>9</v>
      </c>
      <c r="D1952" s="29">
        <v>4.0</v>
      </c>
      <c r="E1952" s="30">
        <v>2720.0</v>
      </c>
      <c r="F1952" s="25" t="s">
        <v>10</v>
      </c>
      <c r="G1952" s="26">
        <v>46018.0</v>
      </c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 ht="14.25" customHeight="1">
      <c r="A1953" s="36">
        <v>46017.0</v>
      </c>
      <c r="B1953" s="33" t="s">
        <v>258</v>
      </c>
      <c r="C1953" s="33" t="s">
        <v>9</v>
      </c>
      <c r="D1953" s="29">
        <v>2.0</v>
      </c>
      <c r="E1953" s="30">
        <v>920.0</v>
      </c>
      <c r="F1953" s="25" t="s">
        <v>10</v>
      </c>
      <c r="G1953" s="26">
        <v>46018.0</v>
      </c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 ht="14.25" customHeight="1">
      <c r="A1954" s="36">
        <v>46017.0</v>
      </c>
      <c r="B1954" s="33" t="s">
        <v>1110</v>
      </c>
      <c r="C1954" s="33" t="s">
        <v>133</v>
      </c>
      <c r="D1954" s="29">
        <v>1.0</v>
      </c>
      <c r="E1954" s="30">
        <v>580.0</v>
      </c>
      <c r="F1954" s="25" t="s">
        <v>10</v>
      </c>
      <c r="G1954" s="26">
        <v>46022.0</v>
      </c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 ht="14.25" customHeight="1">
      <c r="A1955" s="36">
        <v>46017.0</v>
      </c>
      <c r="B1955" s="33" t="s">
        <v>430</v>
      </c>
      <c r="C1955" s="33" t="s">
        <v>133</v>
      </c>
      <c r="D1955" s="29">
        <v>2.0</v>
      </c>
      <c r="E1955" s="30">
        <v>1300.0</v>
      </c>
      <c r="F1955" s="25" t="s">
        <v>10</v>
      </c>
      <c r="G1955" s="26">
        <v>46017.0</v>
      </c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 ht="14.25" customHeight="1">
      <c r="A1956" s="36">
        <v>46018.0</v>
      </c>
      <c r="B1956" s="33" t="s">
        <v>859</v>
      </c>
      <c r="C1956" s="33" t="s">
        <v>9</v>
      </c>
      <c r="D1956" s="29">
        <v>4.0</v>
      </c>
      <c r="E1956" s="30">
        <v>3120.0</v>
      </c>
      <c r="F1956" s="25" t="s">
        <v>10</v>
      </c>
      <c r="G1956" s="26">
        <v>46021.0</v>
      </c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 ht="14.25" customHeight="1">
      <c r="A1957" s="36">
        <v>46020.0</v>
      </c>
      <c r="B1957" s="33" t="s">
        <v>1118</v>
      </c>
      <c r="C1957" s="33" t="s">
        <v>138</v>
      </c>
      <c r="D1957" s="29">
        <v>2.0</v>
      </c>
      <c r="E1957" s="30">
        <v>960.0</v>
      </c>
      <c r="F1957" s="25" t="s">
        <v>10</v>
      </c>
      <c r="G1957" s="26">
        <v>46020.0</v>
      </c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 ht="14.25" customHeight="1">
      <c r="A1958" s="36">
        <v>46020.0</v>
      </c>
      <c r="B1958" s="33" t="s">
        <v>1087</v>
      </c>
      <c r="C1958" s="33" t="s">
        <v>126</v>
      </c>
      <c r="D1958" s="29">
        <v>2.0</v>
      </c>
      <c r="E1958" s="30">
        <v>2400.0</v>
      </c>
      <c r="F1958" s="25" t="s">
        <v>122</v>
      </c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 ht="14.25" customHeight="1">
      <c r="A1959" s="36">
        <v>46020.0</v>
      </c>
      <c r="B1959" s="33" t="s">
        <v>1119</v>
      </c>
      <c r="C1959" s="33" t="s">
        <v>9</v>
      </c>
      <c r="D1959" s="29">
        <v>2.0</v>
      </c>
      <c r="E1959" s="30">
        <v>4400.0</v>
      </c>
      <c r="F1959" s="25" t="s">
        <v>10</v>
      </c>
      <c r="G1959" s="26">
        <v>46021.0</v>
      </c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 ht="14.25" customHeight="1">
      <c r="A1960" s="36">
        <v>46020.0</v>
      </c>
      <c r="B1960" s="33" t="s">
        <v>1120</v>
      </c>
      <c r="C1960" s="33" t="s">
        <v>154</v>
      </c>
      <c r="D1960" s="29">
        <v>2.0</v>
      </c>
      <c r="E1960" s="30">
        <v>946.0</v>
      </c>
      <c r="F1960" s="25" t="s">
        <v>10</v>
      </c>
      <c r="G1960" s="26">
        <v>46020.0</v>
      </c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 ht="14.25" customHeight="1">
      <c r="A1961" s="36">
        <v>46020.0</v>
      </c>
      <c r="B1961" s="33" t="s">
        <v>1121</v>
      </c>
      <c r="C1961" s="33" t="s">
        <v>154</v>
      </c>
      <c r="D1961" s="29">
        <v>1.0</v>
      </c>
      <c r="E1961" s="30">
        <v>1648.0</v>
      </c>
      <c r="F1961" s="25" t="s">
        <v>10</v>
      </c>
      <c r="G1961" s="26">
        <v>46020.0</v>
      </c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 ht="14.25" customHeight="1">
      <c r="A1962" s="36">
        <v>46020.0</v>
      </c>
      <c r="B1962" s="33" t="s">
        <v>1122</v>
      </c>
      <c r="C1962" s="33" t="s">
        <v>143</v>
      </c>
      <c r="D1962" s="29">
        <v>4.0</v>
      </c>
      <c r="E1962" s="30">
        <v>3480.0</v>
      </c>
      <c r="F1962" s="25" t="s">
        <v>122</v>
      </c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 ht="14.25" customHeight="1">
      <c r="A1963" s="36">
        <v>46021.0</v>
      </c>
      <c r="B1963" s="33" t="s">
        <v>1123</v>
      </c>
      <c r="C1963" s="33" t="s">
        <v>9</v>
      </c>
      <c r="D1963" s="29">
        <v>2.0</v>
      </c>
      <c r="E1963" s="30">
        <v>4100.0</v>
      </c>
      <c r="F1963" s="25" t="s">
        <v>10</v>
      </c>
      <c r="G1963" s="38">
        <v>46027.0</v>
      </c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 ht="14.25" customHeight="1">
      <c r="A1964" s="36">
        <v>46021.0</v>
      </c>
      <c r="B1964" s="33" t="s">
        <v>1124</v>
      </c>
      <c r="C1964" s="33" t="s">
        <v>9</v>
      </c>
      <c r="D1964" s="29">
        <v>1.0</v>
      </c>
      <c r="E1964" s="30">
        <v>1550.0</v>
      </c>
      <c r="F1964" s="25" t="s">
        <v>10</v>
      </c>
      <c r="G1964" s="38">
        <v>46027.0</v>
      </c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 ht="14.25" customHeight="1">
      <c r="A1965" s="36">
        <v>46021.0</v>
      </c>
      <c r="B1965" s="33" t="s">
        <v>1062</v>
      </c>
      <c r="C1965" s="33" t="s">
        <v>126</v>
      </c>
      <c r="D1965" s="29">
        <v>1.0</v>
      </c>
      <c r="E1965" s="30">
        <v>1300.0</v>
      </c>
      <c r="F1965" s="25" t="s">
        <v>122</v>
      </c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 ht="14.25" customHeight="1">
      <c r="A1966" s="36">
        <v>46021.0</v>
      </c>
      <c r="B1966" s="33" t="s">
        <v>812</v>
      </c>
      <c r="C1966" s="33" t="s">
        <v>9</v>
      </c>
      <c r="D1966" s="29">
        <v>1.0</v>
      </c>
      <c r="E1966" s="30">
        <v>4300.0</v>
      </c>
      <c r="F1966" s="25" t="s">
        <v>10</v>
      </c>
      <c r="G1966" s="38">
        <v>46027.0</v>
      </c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 ht="14.25" customHeight="1">
      <c r="A1967" s="36">
        <v>46021.0</v>
      </c>
      <c r="B1967" s="33" t="s">
        <v>512</v>
      </c>
      <c r="C1967" s="33" t="s">
        <v>143</v>
      </c>
      <c r="D1967" s="29">
        <v>2.0</v>
      </c>
      <c r="E1967" s="30">
        <v>5000.0</v>
      </c>
      <c r="F1967" s="25" t="s">
        <v>122</v>
      </c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 ht="14.25" customHeight="1">
      <c r="A1968" s="36">
        <v>46021.0</v>
      </c>
      <c r="B1968" s="33" t="s">
        <v>1125</v>
      </c>
      <c r="C1968" s="33" t="s">
        <v>133</v>
      </c>
      <c r="D1968" s="29">
        <v>2.0</v>
      </c>
      <c r="E1968" s="30">
        <v>4600.0</v>
      </c>
      <c r="F1968" s="25" t="s">
        <v>10</v>
      </c>
      <c r="G1968" s="26">
        <v>46021.0</v>
      </c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 ht="14.25" customHeight="1">
      <c r="A1969" s="36">
        <v>46021.0</v>
      </c>
      <c r="B1969" s="33" t="s">
        <v>797</v>
      </c>
      <c r="C1969" s="33" t="s">
        <v>9</v>
      </c>
      <c r="D1969" s="29">
        <v>4.0</v>
      </c>
      <c r="E1969" s="30">
        <v>4200.0</v>
      </c>
      <c r="F1969" s="25" t="s">
        <v>10</v>
      </c>
      <c r="G1969" s="38">
        <v>46027.0</v>
      </c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 ht="14.25" customHeight="1">
      <c r="A1970" s="36">
        <v>46022.0</v>
      </c>
      <c r="B1970" s="33" t="s">
        <v>1126</v>
      </c>
      <c r="C1970" s="33" t="s">
        <v>143</v>
      </c>
      <c r="D1970" s="29">
        <v>2.0</v>
      </c>
      <c r="E1970" s="30">
        <v>5200.0</v>
      </c>
      <c r="F1970" s="25" t="s">
        <v>122</v>
      </c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 ht="14.25" customHeight="1">
      <c r="A1971" s="36">
        <v>46022.0</v>
      </c>
      <c r="B1971" s="33" t="s">
        <v>830</v>
      </c>
      <c r="C1971" s="33" t="s">
        <v>133</v>
      </c>
      <c r="D1971" s="29">
        <v>2.0</v>
      </c>
      <c r="E1971" s="41">
        <v>2540.0</v>
      </c>
      <c r="F1971" s="25" t="s">
        <v>10</v>
      </c>
      <c r="G1971" s="38">
        <v>46064.0</v>
      </c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 ht="14.25" customHeight="1">
      <c r="A1972" s="36">
        <v>46022.0</v>
      </c>
      <c r="B1972" s="33" t="s">
        <v>682</v>
      </c>
      <c r="C1972" s="33" t="s">
        <v>143</v>
      </c>
      <c r="D1972" s="29">
        <v>4.0</v>
      </c>
      <c r="E1972" s="30">
        <v>7000.0</v>
      </c>
      <c r="F1972" s="25" t="s">
        <v>122</v>
      </c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 ht="14.25" customHeight="1">
      <c r="A1973" s="40">
        <v>46024.0</v>
      </c>
      <c r="B1973" s="33" t="s">
        <v>22</v>
      </c>
      <c r="C1973" s="33" t="s">
        <v>9</v>
      </c>
      <c r="D1973" s="29">
        <v>4.0</v>
      </c>
      <c r="E1973" s="30">
        <v>5120.0</v>
      </c>
      <c r="F1973" s="25" t="s">
        <v>10</v>
      </c>
      <c r="G1973" s="38">
        <v>46029.0</v>
      </c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 ht="14.25" customHeight="1">
      <c r="A1974" s="40">
        <v>46024.0</v>
      </c>
      <c r="B1974" s="33" t="s">
        <v>949</v>
      </c>
      <c r="C1974" s="33" t="s">
        <v>9</v>
      </c>
      <c r="D1974" s="29">
        <v>4.0</v>
      </c>
      <c r="E1974" s="30">
        <v>4600.0</v>
      </c>
      <c r="F1974" s="25" t="s">
        <v>10</v>
      </c>
      <c r="G1974" s="38">
        <v>46029.0</v>
      </c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 ht="14.25" customHeight="1">
      <c r="A1975" s="40">
        <v>46024.0</v>
      </c>
      <c r="B1975" s="33" t="s">
        <v>201</v>
      </c>
      <c r="C1975" s="33" t="s">
        <v>138</v>
      </c>
      <c r="D1975" s="29">
        <v>2.0</v>
      </c>
      <c r="E1975" s="30">
        <v>940.0</v>
      </c>
      <c r="F1975" s="25" t="s">
        <v>10</v>
      </c>
      <c r="G1975" s="38">
        <v>46024.0</v>
      </c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 ht="14.25" customHeight="1">
      <c r="A1976" s="40">
        <v>46024.0</v>
      </c>
      <c r="B1976" s="33" t="s">
        <v>835</v>
      </c>
      <c r="C1976" s="33" t="s">
        <v>133</v>
      </c>
      <c r="D1976" s="29">
        <v>2.0</v>
      </c>
      <c r="E1976" s="41">
        <v>2800.0</v>
      </c>
      <c r="F1976" s="25" t="s">
        <v>10</v>
      </c>
      <c r="G1976" s="38">
        <v>46064.0</v>
      </c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 ht="14.25" customHeight="1">
      <c r="A1977" s="40">
        <v>46024.0</v>
      </c>
      <c r="B1977" s="33" t="s">
        <v>48</v>
      </c>
      <c r="C1977" s="33" t="s">
        <v>143</v>
      </c>
      <c r="D1977" s="29">
        <v>2.0</v>
      </c>
      <c r="E1977" s="30">
        <v>2200.0</v>
      </c>
      <c r="F1977" s="25" t="s">
        <v>122</v>
      </c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 ht="14.25" customHeight="1">
      <c r="A1978" s="40">
        <v>46024.0</v>
      </c>
      <c r="B1978" s="33" t="s">
        <v>523</v>
      </c>
      <c r="C1978" s="33" t="s">
        <v>711</v>
      </c>
      <c r="D1978" s="29">
        <v>2.0</v>
      </c>
      <c r="E1978" s="30">
        <v>1500.0</v>
      </c>
      <c r="F1978" s="25" t="s">
        <v>10</v>
      </c>
      <c r="G1978" s="38">
        <v>46024.0</v>
      </c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 ht="14.25" customHeight="1">
      <c r="A1979" s="40">
        <v>46025.0</v>
      </c>
      <c r="B1979" s="33" t="s">
        <v>1127</v>
      </c>
      <c r="C1979" s="33" t="s">
        <v>325</v>
      </c>
      <c r="D1979" s="29">
        <v>2.0</v>
      </c>
      <c r="E1979" s="30">
        <v>1600.0</v>
      </c>
      <c r="F1979" s="25" t="s">
        <v>122</v>
      </c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 ht="14.25" customHeight="1">
      <c r="A1980" s="40">
        <v>46027.0</v>
      </c>
      <c r="B1980" s="33" t="s">
        <v>1020</v>
      </c>
      <c r="C1980" s="33" t="s">
        <v>83</v>
      </c>
      <c r="D1980" s="29">
        <v>2.0</v>
      </c>
      <c r="E1980" s="30">
        <v>4600.0</v>
      </c>
      <c r="F1980" s="25" t="s">
        <v>10</v>
      </c>
      <c r="G1980" s="38">
        <v>46030.0</v>
      </c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 ht="14.25" customHeight="1">
      <c r="A1981" s="40">
        <v>46027.0</v>
      </c>
      <c r="B1981" s="33" t="s">
        <v>1128</v>
      </c>
      <c r="C1981" s="33" t="s">
        <v>138</v>
      </c>
      <c r="D1981" s="29">
        <v>4.0</v>
      </c>
      <c r="E1981" s="30">
        <v>3920.0</v>
      </c>
      <c r="F1981" s="25" t="s">
        <v>10</v>
      </c>
      <c r="G1981" s="38">
        <v>46027.0</v>
      </c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 ht="14.25" customHeight="1">
      <c r="A1982" s="40">
        <v>46027.0</v>
      </c>
      <c r="B1982" s="33" t="s">
        <v>1021</v>
      </c>
      <c r="C1982" s="33" t="s">
        <v>138</v>
      </c>
      <c r="D1982" s="29">
        <v>2.0</v>
      </c>
      <c r="E1982" s="30">
        <v>1200.0</v>
      </c>
      <c r="F1982" s="25" t="s">
        <v>10</v>
      </c>
      <c r="G1982" s="38">
        <v>46027.0</v>
      </c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 ht="14.25" customHeight="1">
      <c r="A1983" s="40">
        <v>46027.0</v>
      </c>
      <c r="B1983" s="33" t="s">
        <v>100</v>
      </c>
      <c r="C1983" s="33" t="s">
        <v>133</v>
      </c>
      <c r="D1983" s="29">
        <v>4.0</v>
      </c>
      <c r="E1983" s="41">
        <v>3000.0</v>
      </c>
      <c r="F1983" s="25" t="s">
        <v>10</v>
      </c>
      <c r="G1983" s="38">
        <v>46064.0</v>
      </c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 ht="14.25" customHeight="1">
      <c r="A1984" s="40">
        <v>46027.0</v>
      </c>
      <c r="B1984" s="33" t="s">
        <v>771</v>
      </c>
      <c r="C1984" s="33" t="s">
        <v>128</v>
      </c>
      <c r="D1984" s="29">
        <v>1.0</v>
      </c>
      <c r="E1984" s="30">
        <v>632.0</v>
      </c>
      <c r="F1984" s="25" t="s">
        <v>10</v>
      </c>
      <c r="G1984" s="38">
        <v>46027.0</v>
      </c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 ht="14.25" customHeight="1">
      <c r="A1985" s="40">
        <v>46027.0</v>
      </c>
      <c r="B1985" s="33" t="s">
        <v>43</v>
      </c>
      <c r="C1985" s="33" t="s">
        <v>133</v>
      </c>
      <c r="D1985" s="29">
        <v>2.0</v>
      </c>
      <c r="E1985" s="41">
        <v>1840.0</v>
      </c>
      <c r="F1985" s="25" t="s">
        <v>10</v>
      </c>
      <c r="G1985" s="38">
        <v>46064.0</v>
      </c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 ht="14.25" customHeight="1">
      <c r="A1986" s="40">
        <v>46027.0</v>
      </c>
      <c r="B1986" s="33" t="s">
        <v>1129</v>
      </c>
      <c r="C1986" s="33" t="s">
        <v>9</v>
      </c>
      <c r="D1986" s="29">
        <v>2.0</v>
      </c>
      <c r="E1986" s="30">
        <v>3100.0</v>
      </c>
      <c r="F1986" s="25" t="s">
        <v>10</v>
      </c>
      <c r="G1986" s="38">
        <v>46029.0</v>
      </c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 ht="14.25" customHeight="1">
      <c r="A1987" s="40">
        <v>46028.0</v>
      </c>
      <c r="B1987" s="33" t="s">
        <v>1130</v>
      </c>
      <c r="C1987" s="33" t="s">
        <v>154</v>
      </c>
      <c r="D1987" s="29">
        <v>2.0</v>
      </c>
      <c r="E1987" s="30">
        <v>1078.0</v>
      </c>
      <c r="F1987" s="25" t="s">
        <v>10</v>
      </c>
      <c r="G1987" s="38">
        <v>46028.0</v>
      </c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 ht="14.25" customHeight="1">
      <c r="A1988" s="40">
        <v>46028.0</v>
      </c>
      <c r="B1988" s="33" t="s">
        <v>1131</v>
      </c>
      <c r="C1988" s="33" t="s">
        <v>9</v>
      </c>
      <c r="D1988" s="29">
        <v>2.0</v>
      </c>
      <c r="E1988" s="30">
        <v>2500.0</v>
      </c>
      <c r="F1988" s="25" t="s">
        <v>10</v>
      </c>
      <c r="G1988" s="38">
        <v>46029.0</v>
      </c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 ht="14.25" customHeight="1">
      <c r="A1989" s="40">
        <v>46029.0</v>
      </c>
      <c r="B1989" s="33" t="s">
        <v>559</v>
      </c>
      <c r="C1989" s="33" t="s">
        <v>9</v>
      </c>
      <c r="D1989" s="29">
        <v>1.0</v>
      </c>
      <c r="E1989" s="30">
        <v>1100.0</v>
      </c>
      <c r="F1989" s="25" t="s">
        <v>10</v>
      </c>
      <c r="G1989" s="38">
        <v>46029.0</v>
      </c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 ht="14.25" customHeight="1">
      <c r="A1990" s="40">
        <v>46029.0</v>
      </c>
      <c r="B1990" s="33" t="s">
        <v>344</v>
      </c>
      <c r="C1990" s="33" t="s">
        <v>711</v>
      </c>
      <c r="D1990" s="29">
        <v>2.0</v>
      </c>
      <c r="E1990" s="30">
        <v>1200.0</v>
      </c>
      <c r="F1990" s="25" t="s">
        <v>10</v>
      </c>
      <c r="G1990" s="38">
        <v>46029.0</v>
      </c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 ht="14.25" customHeight="1">
      <c r="A1991" s="40">
        <v>46030.0</v>
      </c>
      <c r="B1991" s="33" t="s">
        <v>1096</v>
      </c>
      <c r="C1991" s="33" t="s">
        <v>138</v>
      </c>
      <c r="D1991" s="29">
        <v>1.0</v>
      </c>
      <c r="E1991" s="30">
        <v>2165.0</v>
      </c>
      <c r="F1991" s="25" t="s">
        <v>10</v>
      </c>
      <c r="G1991" s="38">
        <v>46030.0</v>
      </c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 ht="14.25" customHeight="1">
      <c r="A1992" s="40">
        <v>46030.0</v>
      </c>
      <c r="B1992" s="33" t="s">
        <v>17</v>
      </c>
      <c r="C1992" s="33" t="s">
        <v>133</v>
      </c>
      <c r="D1992" s="29">
        <v>2.0</v>
      </c>
      <c r="E1992" s="41">
        <v>2400.0</v>
      </c>
      <c r="F1992" s="25" t="s">
        <v>10</v>
      </c>
      <c r="G1992" s="38">
        <v>46064.0</v>
      </c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 ht="14.25" customHeight="1">
      <c r="A1993" s="40">
        <v>46030.0</v>
      </c>
      <c r="B1993" s="33" t="s">
        <v>430</v>
      </c>
      <c r="C1993" s="33" t="s">
        <v>133</v>
      </c>
      <c r="D1993" s="29">
        <v>2.0</v>
      </c>
      <c r="E1993" s="30">
        <v>1300.0</v>
      </c>
      <c r="F1993" s="25" t="s">
        <v>10</v>
      </c>
      <c r="G1993" s="38">
        <v>46030.0</v>
      </c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 ht="14.25" customHeight="1">
      <c r="A1994" s="40">
        <v>46030.0</v>
      </c>
      <c r="B1994" s="33" t="s">
        <v>100</v>
      </c>
      <c r="C1994" s="33" t="s">
        <v>133</v>
      </c>
      <c r="D1994" s="29">
        <v>2.0</v>
      </c>
      <c r="E1994" s="41">
        <v>1500.0</v>
      </c>
      <c r="F1994" s="25" t="s">
        <v>10</v>
      </c>
      <c r="G1994" s="38">
        <v>46064.0</v>
      </c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 ht="14.25" customHeight="1">
      <c r="A1995" s="40">
        <v>46030.0</v>
      </c>
      <c r="B1995" s="33" t="s">
        <v>1132</v>
      </c>
      <c r="C1995" s="33" t="s">
        <v>9</v>
      </c>
      <c r="D1995" s="29">
        <v>1.0</v>
      </c>
      <c r="E1995" s="30">
        <v>730.0</v>
      </c>
      <c r="F1995" s="25" t="s">
        <v>10</v>
      </c>
      <c r="G1995" s="38">
        <v>46032.0</v>
      </c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 ht="14.25" customHeight="1">
      <c r="A1996" s="40">
        <v>46030.0</v>
      </c>
      <c r="B1996" s="33" t="s">
        <v>287</v>
      </c>
      <c r="C1996" s="33" t="s">
        <v>9</v>
      </c>
      <c r="D1996" s="29">
        <v>1.0</v>
      </c>
      <c r="E1996" s="30">
        <v>1280.0</v>
      </c>
      <c r="F1996" s="25" t="s">
        <v>10</v>
      </c>
      <c r="G1996" s="38">
        <v>46032.0</v>
      </c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 ht="14.25" customHeight="1">
      <c r="A1997" s="40">
        <v>46030.0</v>
      </c>
      <c r="B1997" s="33" t="s">
        <v>1133</v>
      </c>
      <c r="C1997" s="33" t="s">
        <v>154</v>
      </c>
      <c r="D1997" s="29">
        <v>1.0</v>
      </c>
      <c r="E1997" s="30">
        <v>1000.0</v>
      </c>
      <c r="F1997" s="25" t="s">
        <v>10</v>
      </c>
      <c r="G1997" s="38">
        <v>46030.0</v>
      </c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 ht="14.25" customHeight="1">
      <c r="A1998" s="40">
        <v>46030.0</v>
      </c>
      <c r="B1998" s="33" t="s">
        <v>30</v>
      </c>
      <c r="C1998" s="33" t="s">
        <v>126</v>
      </c>
      <c r="D1998" s="29">
        <v>2.0</v>
      </c>
      <c r="E1998" s="30">
        <v>1800.0</v>
      </c>
      <c r="F1998" s="25" t="s">
        <v>122</v>
      </c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 ht="14.25" customHeight="1">
      <c r="A1999" s="40">
        <v>46031.0</v>
      </c>
      <c r="B1999" s="33" t="s">
        <v>1134</v>
      </c>
      <c r="C1999" s="33" t="s">
        <v>133</v>
      </c>
      <c r="D1999" s="29">
        <v>2.0</v>
      </c>
      <c r="E1999" s="41">
        <v>1760.0</v>
      </c>
      <c r="F1999" s="25" t="s">
        <v>10</v>
      </c>
      <c r="G1999" s="38">
        <v>46064.0</v>
      </c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 ht="14.25" customHeight="1">
      <c r="A2000" s="40">
        <v>46031.0</v>
      </c>
      <c r="B2000" s="33" t="s">
        <v>1135</v>
      </c>
      <c r="C2000" s="33" t="s">
        <v>83</v>
      </c>
      <c r="D2000" s="29">
        <v>1.0</v>
      </c>
      <c r="E2000" s="30">
        <v>2800.0</v>
      </c>
      <c r="F2000" s="25" t="s">
        <v>10</v>
      </c>
      <c r="G2000" s="38">
        <v>46031.0</v>
      </c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 ht="14.25" customHeight="1">
      <c r="A2001" s="40">
        <v>46031.0</v>
      </c>
      <c r="B2001" s="33" t="s">
        <v>903</v>
      </c>
      <c r="C2001" s="33" t="s">
        <v>138</v>
      </c>
      <c r="D2001" s="29">
        <v>4.0</v>
      </c>
      <c r="E2001" s="30">
        <v>3400.0</v>
      </c>
      <c r="F2001" s="25" t="s">
        <v>10</v>
      </c>
      <c r="G2001" s="38">
        <v>46031.0</v>
      </c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 ht="14.25" customHeight="1">
      <c r="A2002" s="40">
        <v>46031.0</v>
      </c>
      <c r="B2002" s="33" t="s">
        <v>1136</v>
      </c>
      <c r="C2002" s="33" t="s">
        <v>154</v>
      </c>
      <c r="D2002" s="29">
        <v>2.0</v>
      </c>
      <c r="E2002" s="30">
        <v>1315.0</v>
      </c>
      <c r="F2002" s="25" t="s">
        <v>10</v>
      </c>
      <c r="G2002" s="38">
        <v>46031.0</v>
      </c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</row>
    <row r="2003" ht="14.25" customHeight="1">
      <c r="A2003" s="40">
        <v>46031.0</v>
      </c>
      <c r="B2003" s="33" t="s">
        <v>859</v>
      </c>
      <c r="C2003" s="33" t="s">
        <v>126</v>
      </c>
      <c r="D2003" s="29">
        <v>1.0</v>
      </c>
      <c r="E2003" s="30">
        <v>800.0</v>
      </c>
      <c r="F2003" s="25" t="s">
        <v>122</v>
      </c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</row>
    <row r="2004" ht="14.25" customHeight="1">
      <c r="A2004" s="40">
        <v>46032.0</v>
      </c>
      <c r="B2004" s="33" t="s">
        <v>1137</v>
      </c>
      <c r="C2004" s="33" t="s">
        <v>9</v>
      </c>
      <c r="D2004" s="29">
        <v>2.0</v>
      </c>
      <c r="E2004" s="30">
        <v>1080.0</v>
      </c>
      <c r="F2004" s="25" t="s">
        <v>10</v>
      </c>
      <c r="G2004" s="38">
        <v>46032.0</v>
      </c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</row>
    <row r="2005" ht="14.25" customHeight="1">
      <c r="A2005" s="40">
        <v>46034.0</v>
      </c>
      <c r="B2005" s="33" t="s">
        <v>833</v>
      </c>
      <c r="C2005" s="33" t="s">
        <v>9</v>
      </c>
      <c r="D2005" s="29">
        <v>4.0</v>
      </c>
      <c r="E2005" s="30">
        <v>6200.0</v>
      </c>
      <c r="F2005" s="25" t="s">
        <v>10</v>
      </c>
      <c r="G2005" s="38">
        <v>46037.0</v>
      </c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</row>
    <row r="2006" ht="14.25" customHeight="1">
      <c r="A2006" s="40">
        <v>46035.0</v>
      </c>
      <c r="B2006" s="33" t="s">
        <v>436</v>
      </c>
      <c r="C2006" s="33" t="s">
        <v>143</v>
      </c>
      <c r="D2006" s="29">
        <v>1.0</v>
      </c>
      <c r="E2006" s="30">
        <v>750.0</v>
      </c>
      <c r="F2006" s="25" t="s">
        <v>122</v>
      </c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</row>
    <row r="2007" ht="14.25" customHeight="1">
      <c r="A2007" s="40">
        <v>46035.0</v>
      </c>
      <c r="B2007" s="33" t="s">
        <v>30</v>
      </c>
      <c r="C2007" s="33" t="s">
        <v>126</v>
      </c>
      <c r="D2007" s="29">
        <v>2.0</v>
      </c>
      <c r="E2007" s="30">
        <v>1800.0</v>
      </c>
      <c r="F2007" s="25" t="s">
        <v>122</v>
      </c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</row>
    <row r="2008" ht="14.25" customHeight="1">
      <c r="A2008" s="40">
        <v>46035.0</v>
      </c>
      <c r="B2008" s="33" t="s">
        <v>898</v>
      </c>
      <c r="C2008" s="33" t="s">
        <v>9</v>
      </c>
      <c r="D2008" s="29">
        <v>4.0</v>
      </c>
      <c r="E2008" s="30">
        <v>4720.0</v>
      </c>
      <c r="F2008" s="25" t="s">
        <v>10</v>
      </c>
      <c r="G2008" s="38">
        <v>46037.0</v>
      </c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 ht="14.25" customHeight="1">
      <c r="A2009" s="40">
        <v>46035.0</v>
      </c>
      <c r="B2009" s="33" t="s">
        <v>1138</v>
      </c>
      <c r="C2009" s="33" t="s">
        <v>133</v>
      </c>
      <c r="D2009" s="29">
        <v>1.0</v>
      </c>
      <c r="E2009" s="41">
        <v>1200.0</v>
      </c>
      <c r="F2009" s="25" t="s">
        <v>10</v>
      </c>
      <c r="G2009" s="38">
        <v>46064.0</v>
      </c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</row>
    <row r="2010" ht="14.25" customHeight="1">
      <c r="A2010" s="40">
        <v>46035.0</v>
      </c>
      <c r="B2010" s="33" t="s">
        <v>1139</v>
      </c>
      <c r="C2010" s="33" t="s">
        <v>133</v>
      </c>
      <c r="D2010" s="29">
        <v>1.0</v>
      </c>
      <c r="E2010" s="41">
        <v>1550.0</v>
      </c>
      <c r="F2010" s="25" t="s">
        <v>10</v>
      </c>
      <c r="G2010" s="38">
        <v>46064.0</v>
      </c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</row>
    <row r="2011" ht="14.25" customHeight="1">
      <c r="A2011" s="40">
        <v>46037.0</v>
      </c>
      <c r="B2011" s="33" t="s">
        <v>772</v>
      </c>
      <c r="C2011" s="33" t="s">
        <v>126</v>
      </c>
      <c r="D2011" s="29">
        <v>4.0</v>
      </c>
      <c r="E2011" s="30">
        <v>6600.0</v>
      </c>
      <c r="F2011" s="25" t="s">
        <v>122</v>
      </c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</row>
    <row r="2012" ht="14.25" customHeight="1">
      <c r="A2012" s="40">
        <v>46037.0</v>
      </c>
      <c r="B2012" s="33" t="s">
        <v>430</v>
      </c>
      <c r="C2012" s="33" t="s">
        <v>133</v>
      </c>
      <c r="D2012" s="29">
        <v>1.0</v>
      </c>
      <c r="E2012" s="41">
        <v>650.0</v>
      </c>
      <c r="F2012" s="25" t="s">
        <v>10</v>
      </c>
      <c r="G2012" s="38">
        <v>46064.0</v>
      </c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</row>
    <row r="2013" ht="14.25" customHeight="1">
      <c r="A2013" s="40">
        <v>46037.0</v>
      </c>
      <c r="B2013" s="33" t="s">
        <v>100</v>
      </c>
      <c r="C2013" s="33" t="s">
        <v>133</v>
      </c>
      <c r="D2013" s="29">
        <v>1.0</v>
      </c>
      <c r="E2013" s="41">
        <v>750.0</v>
      </c>
      <c r="F2013" s="25" t="s">
        <v>10</v>
      </c>
      <c r="G2013" s="38">
        <v>46064.0</v>
      </c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</row>
    <row r="2014" ht="14.25" customHeight="1">
      <c r="A2014" s="40">
        <v>46037.0</v>
      </c>
      <c r="B2014" s="33" t="s">
        <v>370</v>
      </c>
      <c r="C2014" s="33" t="s">
        <v>9</v>
      </c>
      <c r="D2014" s="29">
        <v>4.0</v>
      </c>
      <c r="E2014" s="30">
        <v>4200.0</v>
      </c>
      <c r="F2014" s="25" t="s">
        <v>10</v>
      </c>
      <c r="G2014" s="38">
        <v>46037.0</v>
      </c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</row>
    <row r="2015" ht="14.25" customHeight="1">
      <c r="A2015" s="40">
        <v>46037.0</v>
      </c>
      <c r="B2015" s="33" t="s">
        <v>87</v>
      </c>
      <c r="C2015" s="33" t="s">
        <v>9</v>
      </c>
      <c r="D2015" s="29">
        <v>1.0</v>
      </c>
      <c r="E2015" s="30">
        <v>550.0</v>
      </c>
      <c r="F2015" s="25" t="s">
        <v>10</v>
      </c>
      <c r="G2015" s="38">
        <v>46037.0</v>
      </c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</row>
    <row r="2016" ht="14.25" customHeight="1">
      <c r="A2016" s="40">
        <v>46038.0</v>
      </c>
      <c r="B2016" s="33" t="s">
        <v>551</v>
      </c>
      <c r="C2016" s="33" t="s">
        <v>9</v>
      </c>
      <c r="D2016" s="29">
        <v>2.0</v>
      </c>
      <c r="E2016" s="30">
        <v>2500.0</v>
      </c>
      <c r="F2016" s="25" t="s">
        <v>10</v>
      </c>
      <c r="G2016" s="38">
        <v>46046.0</v>
      </c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</row>
    <row r="2017" ht="14.25" customHeight="1">
      <c r="A2017" s="40">
        <v>46038.0</v>
      </c>
      <c r="B2017" s="33" t="s">
        <v>1083</v>
      </c>
      <c r="C2017" s="33" t="s">
        <v>9</v>
      </c>
      <c r="D2017" s="29">
        <v>1.0</v>
      </c>
      <c r="E2017" s="30">
        <v>1100.0</v>
      </c>
      <c r="F2017" s="25" t="s">
        <v>10</v>
      </c>
      <c r="G2017" s="38">
        <v>46046.0</v>
      </c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</row>
    <row r="2018" ht="14.25" customHeight="1">
      <c r="A2018" s="40">
        <v>46038.0</v>
      </c>
      <c r="B2018" s="33" t="s">
        <v>420</v>
      </c>
      <c r="C2018" s="33" t="s">
        <v>9</v>
      </c>
      <c r="D2018" s="29">
        <v>2.0</v>
      </c>
      <c r="E2018" s="30">
        <v>3400.0</v>
      </c>
      <c r="F2018" s="25" t="s">
        <v>10</v>
      </c>
      <c r="G2018" s="38">
        <v>46046.0</v>
      </c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</row>
    <row r="2019" ht="14.25" customHeight="1">
      <c r="A2019" s="40">
        <v>46038.0</v>
      </c>
      <c r="B2019" s="33" t="s">
        <v>1140</v>
      </c>
      <c r="C2019" s="33" t="s">
        <v>133</v>
      </c>
      <c r="D2019" s="29">
        <v>4.0</v>
      </c>
      <c r="E2019" s="30">
        <v>7200.0</v>
      </c>
      <c r="F2019" s="25" t="s">
        <v>10</v>
      </c>
      <c r="G2019" s="38">
        <v>46038.0</v>
      </c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</row>
    <row r="2020" ht="14.25" customHeight="1">
      <c r="A2020" s="40">
        <v>46039.0</v>
      </c>
      <c r="B2020" s="33" t="s">
        <v>39</v>
      </c>
      <c r="C2020" s="33" t="s">
        <v>138</v>
      </c>
      <c r="D2020" s="29">
        <v>1.0</v>
      </c>
      <c r="E2020" s="30">
        <v>990.0</v>
      </c>
      <c r="F2020" s="25" t="s">
        <v>10</v>
      </c>
      <c r="G2020" s="38">
        <v>46042.0</v>
      </c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</row>
    <row r="2021" ht="14.25" customHeight="1">
      <c r="A2021" s="40">
        <v>46039.0</v>
      </c>
      <c r="B2021" s="33" t="s">
        <v>859</v>
      </c>
      <c r="C2021" s="33" t="s">
        <v>126</v>
      </c>
      <c r="D2021" s="29">
        <v>1.0</v>
      </c>
      <c r="E2021" s="30">
        <v>800.0</v>
      </c>
      <c r="F2021" s="25" t="s">
        <v>122</v>
      </c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</row>
    <row r="2022" ht="14.25" customHeight="1">
      <c r="A2022" s="40">
        <v>46039.0</v>
      </c>
      <c r="B2022" s="33" t="s">
        <v>1141</v>
      </c>
      <c r="C2022" s="33" t="s">
        <v>126</v>
      </c>
      <c r="D2022" s="29">
        <v>1.0</v>
      </c>
      <c r="E2022" s="30">
        <v>2100.0</v>
      </c>
      <c r="F2022" s="25" t="s">
        <v>122</v>
      </c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</row>
    <row r="2023" ht="14.25" customHeight="1">
      <c r="A2023" s="40">
        <v>46039.0</v>
      </c>
      <c r="B2023" s="33" t="s">
        <v>100</v>
      </c>
      <c r="C2023" s="33" t="s">
        <v>133</v>
      </c>
      <c r="D2023" s="29">
        <v>4.0</v>
      </c>
      <c r="E2023" s="30">
        <v>3000.0</v>
      </c>
      <c r="F2023" s="25" t="s">
        <v>10</v>
      </c>
      <c r="G2023" s="38">
        <v>46041.0</v>
      </c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</row>
    <row r="2024" ht="14.25" customHeight="1">
      <c r="A2024" s="40">
        <v>46041.0</v>
      </c>
      <c r="B2024" s="33" t="s">
        <v>589</v>
      </c>
      <c r="C2024" s="33" t="s">
        <v>159</v>
      </c>
      <c r="D2024" s="29">
        <v>4.0</v>
      </c>
      <c r="E2024" s="30">
        <v>4400.0</v>
      </c>
      <c r="F2024" s="25" t="s">
        <v>10</v>
      </c>
      <c r="G2024" s="38">
        <v>46041.0</v>
      </c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</row>
    <row r="2025" ht="14.25" customHeight="1">
      <c r="A2025" s="40">
        <v>46041.0</v>
      </c>
      <c r="B2025" s="33" t="s">
        <v>771</v>
      </c>
      <c r="C2025" s="33" t="s">
        <v>128</v>
      </c>
      <c r="D2025" s="29">
        <v>1.0</v>
      </c>
      <c r="E2025" s="30">
        <v>633.0</v>
      </c>
      <c r="F2025" s="25" t="s">
        <v>10</v>
      </c>
      <c r="G2025" s="38">
        <v>46041.0</v>
      </c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</row>
    <row r="2026" ht="14.25" customHeight="1">
      <c r="A2026" s="40">
        <v>46042.0</v>
      </c>
      <c r="B2026" s="33" t="s">
        <v>500</v>
      </c>
      <c r="C2026" s="33" t="s">
        <v>133</v>
      </c>
      <c r="D2026" s="29">
        <v>4.0</v>
      </c>
      <c r="E2026" s="30">
        <v>2600.0</v>
      </c>
      <c r="F2026" s="25" t="s">
        <v>10</v>
      </c>
      <c r="G2026" s="38">
        <v>46043.0</v>
      </c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</row>
    <row r="2027" ht="14.25" customHeight="1">
      <c r="A2027" s="40">
        <v>46043.0</v>
      </c>
      <c r="B2027" s="33" t="s">
        <v>609</v>
      </c>
      <c r="C2027" s="33" t="s">
        <v>133</v>
      </c>
      <c r="D2027" s="29">
        <v>2.0</v>
      </c>
      <c r="E2027" s="41">
        <v>1100.0</v>
      </c>
      <c r="F2027" s="25" t="s">
        <v>10</v>
      </c>
      <c r="G2027" s="38">
        <v>46064.0</v>
      </c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</row>
    <row r="2028" ht="14.25" customHeight="1">
      <c r="A2028" s="40">
        <v>46043.0</v>
      </c>
      <c r="B2028" s="33" t="s">
        <v>1142</v>
      </c>
      <c r="C2028" s="33" t="s">
        <v>138</v>
      </c>
      <c r="D2028" s="29">
        <v>4.0</v>
      </c>
      <c r="E2028" s="30">
        <v>9500.0</v>
      </c>
      <c r="F2028" s="25" t="s">
        <v>10</v>
      </c>
      <c r="G2028" s="38">
        <v>46043.0</v>
      </c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</row>
    <row r="2029" ht="14.25" customHeight="1">
      <c r="A2029" s="40">
        <v>46043.0</v>
      </c>
      <c r="B2029" s="33" t="s">
        <v>449</v>
      </c>
      <c r="C2029" s="33" t="s">
        <v>138</v>
      </c>
      <c r="D2029" s="29">
        <v>2.0</v>
      </c>
      <c r="E2029" s="30">
        <v>1800.0</v>
      </c>
      <c r="F2029" s="25" t="s">
        <v>10</v>
      </c>
      <c r="G2029" s="38">
        <v>46043.0</v>
      </c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</row>
    <row r="2030" ht="14.25" customHeight="1">
      <c r="A2030" s="40">
        <v>46043.0</v>
      </c>
      <c r="B2030" s="33" t="s">
        <v>1143</v>
      </c>
      <c r="C2030" s="33" t="s">
        <v>711</v>
      </c>
      <c r="D2030" s="29">
        <v>1.0</v>
      </c>
      <c r="E2030" s="30">
        <v>1250.0</v>
      </c>
      <c r="F2030" s="25" t="s">
        <v>10</v>
      </c>
      <c r="G2030" s="38">
        <v>46043.0</v>
      </c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</row>
    <row r="2031" ht="14.25" customHeight="1">
      <c r="A2031" s="40">
        <v>46044.0</v>
      </c>
      <c r="B2031" s="33" t="s">
        <v>1144</v>
      </c>
      <c r="C2031" s="33" t="s">
        <v>9</v>
      </c>
      <c r="D2031" s="29">
        <v>2.0</v>
      </c>
      <c r="E2031" s="30">
        <v>3700.0</v>
      </c>
      <c r="F2031" s="25" t="s">
        <v>10</v>
      </c>
      <c r="G2031" s="38">
        <v>46046.0</v>
      </c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</row>
    <row r="2032" ht="14.25" customHeight="1">
      <c r="A2032" s="40">
        <v>46044.0</v>
      </c>
      <c r="B2032" s="33" t="s">
        <v>1145</v>
      </c>
      <c r="C2032" s="33" t="s">
        <v>133</v>
      </c>
      <c r="D2032" s="29">
        <v>1.0</v>
      </c>
      <c r="E2032" s="41">
        <v>1850.0</v>
      </c>
      <c r="F2032" s="25" t="s">
        <v>10</v>
      </c>
      <c r="G2032" s="38">
        <v>46064.0</v>
      </c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</row>
    <row r="2033" ht="14.25" customHeight="1">
      <c r="A2033" s="40">
        <v>46044.0</v>
      </c>
      <c r="B2033" s="33" t="s">
        <v>1146</v>
      </c>
      <c r="C2033" s="33" t="s">
        <v>143</v>
      </c>
      <c r="D2033" s="29">
        <v>1.0</v>
      </c>
      <c r="E2033" s="30">
        <v>1300.0</v>
      </c>
      <c r="F2033" s="25" t="s">
        <v>122</v>
      </c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</row>
    <row r="2034" ht="14.25" customHeight="1">
      <c r="A2034" s="40">
        <v>46044.0</v>
      </c>
      <c r="B2034" s="33" t="s">
        <v>773</v>
      </c>
      <c r="C2034" s="33" t="s">
        <v>711</v>
      </c>
      <c r="D2034" s="29">
        <v>2.0</v>
      </c>
      <c r="E2034" s="30">
        <v>1100.0</v>
      </c>
      <c r="F2034" s="25" t="s">
        <v>10</v>
      </c>
      <c r="G2034" s="38">
        <v>46044.0</v>
      </c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</row>
    <row r="2035" ht="14.25" customHeight="1">
      <c r="A2035" s="40">
        <v>46045.0</v>
      </c>
      <c r="B2035" s="33" t="s">
        <v>1147</v>
      </c>
      <c r="C2035" s="33" t="s">
        <v>138</v>
      </c>
      <c r="D2035" s="29">
        <v>2.0</v>
      </c>
      <c r="E2035" s="30">
        <v>2300.0</v>
      </c>
      <c r="F2035" s="25" t="s">
        <v>10</v>
      </c>
      <c r="G2035" s="38">
        <v>46045.0</v>
      </c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</row>
    <row r="2036" ht="14.25" customHeight="1">
      <c r="A2036" s="40">
        <v>46046.0</v>
      </c>
      <c r="B2036" s="33" t="s">
        <v>840</v>
      </c>
      <c r="C2036" s="33" t="s">
        <v>133</v>
      </c>
      <c r="D2036" s="29">
        <v>4.0</v>
      </c>
      <c r="E2036" s="41">
        <v>2600.0</v>
      </c>
      <c r="F2036" s="25" t="s">
        <v>10</v>
      </c>
      <c r="G2036" s="38">
        <v>46064.0</v>
      </c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</row>
    <row r="2037" ht="14.25" customHeight="1">
      <c r="A2037" s="40">
        <v>46046.0</v>
      </c>
      <c r="B2037" s="33" t="s">
        <v>1148</v>
      </c>
      <c r="C2037" s="33" t="s">
        <v>154</v>
      </c>
      <c r="D2037" s="29">
        <v>1.0</v>
      </c>
      <c r="E2037" s="30">
        <v>420.0</v>
      </c>
      <c r="F2037" s="25" t="s">
        <v>10</v>
      </c>
      <c r="G2037" s="38">
        <v>46046.0</v>
      </c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</row>
    <row r="2038" ht="14.25" customHeight="1">
      <c r="A2038" s="40">
        <v>46046.0</v>
      </c>
      <c r="B2038" s="33" t="s">
        <v>963</v>
      </c>
      <c r="C2038" s="33" t="s">
        <v>9</v>
      </c>
      <c r="D2038" s="29">
        <v>1.0</v>
      </c>
      <c r="E2038" s="30">
        <v>1950.0</v>
      </c>
      <c r="F2038" s="25" t="s">
        <v>10</v>
      </c>
      <c r="G2038" s="38">
        <v>46049.0</v>
      </c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</row>
    <row r="2039" ht="14.25" customHeight="1">
      <c r="A2039" s="40">
        <v>46048.0</v>
      </c>
      <c r="B2039" s="33" t="s">
        <v>744</v>
      </c>
      <c r="C2039" s="33" t="s">
        <v>143</v>
      </c>
      <c r="D2039" s="29">
        <v>1.0</v>
      </c>
      <c r="E2039" s="30">
        <v>700.0</v>
      </c>
      <c r="F2039" s="25" t="s">
        <v>122</v>
      </c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</row>
    <row r="2040" ht="14.25" customHeight="1">
      <c r="A2040" s="40">
        <v>46048.0</v>
      </c>
      <c r="B2040" s="33" t="s">
        <v>1102</v>
      </c>
      <c r="C2040" s="33" t="s">
        <v>9</v>
      </c>
      <c r="D2040" s="29">
        <v>2.0</v>
      </c>
      <c r="E2040" s="30">
        <v>2000.0</v>
      </c>
      <c r="F2040" s="25" t="s">
        <v>10</v>
      </c>
      <c r="G2040" s="38">
        <v>46049.0</v>
      </c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</row>
    <row r="2041" ht="14.25" customHeight="1">
      <c r="A2041" s="40">
        <v>46048.0</v>
      </c>
      <c r="B2041" s="33" t="s">
        <v>1149</v>
      </c>
      <c r="C2041" s="33" t="s">
        <v>138</v>
      </c>
      <c r="D2041" s="29">
        <v>4.0</v>
      </c>
      <c r="E2041" s="30">
        <v>2480.0</v>
      </c>
      <c r="F2041" s="25" t="s">
        <v>10</v>
      </c>
      <c r="G2041" s="38">
        <v>46048.0</v>
      </c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</row>
    <row r="2042" ht="14.25" customHeight="1">
      <c r="A2042" s="40">
        <v>46048.0</v>
      </c>
      <c r="B2042" s="33" t="s">
        <v>859</v>
      </c>
      <c r="C2042" s="33" t="s">
        <v>126</v>
      </c>
      <c r="D2042" s="29">
        <v>1.0</v>
      </c>
      <c r="E2042" s="30">
        <v>800.0</v>
      </c>
      <c r="F2042" s="25" t="s">
        <v>122</v>
      </c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</row>
    <row r="2043" ht="14.25" customHeight="1">
      <c r="A2043" s="40">
        <v>46048.0</v>
      </c>
      <c r="B2043" s="33" t="s">
        <v>744</v>
      </c>
      <c r="C2043" s="33" t="s">
        <v>143</v>
      </c>
      <c r="D2043" s="29">
        <v>2.0</v>
      </c>
      <c r="E2043" s="30">
        <v>1400.0</v>
      </c>
      <c r="F2043" s="25" t="s">
        <v>122</v>
      </c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</row>
    <row r="2044" ht="14.25" customHeight="1">
      <c r="A2044" s="40">
        <v>46048.0</v>
      </c>
      <c r="B2044" s="33" t="s">
        <v>840</v>
      </c>
      <c r="C2044" s="33" t="s">
        <v>133</v>
      </c>
      <c r="D2044" s="29">
        <v>4.0</v>
      </c>
      <c r="E2044" s="30">
        <v>2600.0</v>
      </c>
      <c r="F2044" s="25" t="s">
        <v>10</v>
      </c>
      <c r="G2044" s="38">
        <v>46049.0</v>
      </c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</row>
    <row r="2045" ht="14.25" customHeight="1">
      <c r="A2045" s="40">
        <v>46048.0</v>
      </c>
      <c r="B2045" s="33" t="s">
        <v>950</v>
      </c>
      <c r="C2045" s="33" t="s">
        <v>143</v>
      </c>
      <c r="D2045" s="29">
        <v>2.0</v>
      </c>
      <c r="E2045" s="30">
        <v>2600.0</v>
      </c>
      <c r="F2045" s="25" t="s">
        <v>122</v>
      </c>
      <c r="G2045" s="3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</row>
    <row r="2046" ht="14.25" customHeight="1">
      <c r="A2046" s="40">
        <v>46049.0</v>
      </c>
      <c r="B2046" s="33" t="s">
        <v>773</v>
      </c>
      <c r="C2046" s="33" t="s">
        <v>138</v>
      </c>
      <c r="D2046" s="29">
        <v>6.0</v>
      </c>
      <c r="E2046" s="30">
        <v>3240.0</v>
      </c>
      <c r="F2046" s="25" t="s">
        <v>10</v>
      </c>
      <c r="G2046" s="38">
        <v>46049.0</v>
      </c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</row>
    <row r="2047" ht="14.25" customHeight="1">
      <c r="A2047" s="40">
        <v>46049.0</v>
      </c>
      <c r="B2047" s="33" t="s">
        <v>344</v>
      </c>
      <c r="C2047" s="33" t="s">
        <v>138</v>
      </c>
      <c r="D2047" s="29">
        <v>2.0</v>
      </c>
      <c r="E2047" s="30">
        <v>1240.0</v>
      </c>
      <c r="F2047" s="25" t="s">
        <v>10</v>
      </c>
      <c r="G2047" s="38">
        <v>46049.0</v>
      </c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</row>
    <row r="2048" ht="14.25" customHeight="1">
      <c r="A2048" s="40">
        <v>46049.0</v>
      </c>
      <c r="B2048" s="33" t="s">
        <v>527</v>
      </c>
      <c r="C2048" s="33" t="s">
        <v>9</v>
      </c>
      <c r="D2048" s="29">
        <v>1.0</v>
      </c>
      <c r="E2048" s="30">
        <v>1380.0</v>
      </c>
      <c r="F2048" s="25" t="s">
        <v>10</v>
      </c>
      <c r="G2048" s="38">
        <v>46049.0</v>
      </c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</row>
    <row r="2049" ht="14.25" customHeight="1">
      <c r="A2049" s="40">
        <v>46049.0</v>
      </c>
      <c r="B2049" s="33" t="s">
        <v>1147</v>
      </c>
      <c r="C2049" s="33" t="s">
        <v>138</v>
      </c>
      <c r="D2049" s="29">
        <v>2.0</v>
      </c>
      <c r="E2049" s="30">
        <v>2300.0</v>
      </c>
      <c r="F2049" s="25" t="s">
        <v>10</v>
      </c>
      <c r="G2049" s="38">
        <v>46049.0</v>
      </c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</row>
    <row r="2050" ht="14.25" customHeight="1">
      <c r="A2050" s="40">
        <v>46049.0</v>
      </c>
      <c r="B2050" s="33" t="s">
        <v>859</v>
      </c>
      <c r="C2050" s="33" t="s">
        <v>126</v>
      </c>
      <c r="D2050" s="29">
        <v>2.0</v>
      </c>
      <c r="E2050" s="30">
        <v>1600.0</v>
      </c>
      <c r="F2050" s="25" t="s">
        <v>122</v>
      </c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</row>
    <row r="2051" ht="14.25" customHeight="1">
      <c r="A2051" s="36">
        <v>46049.0</v>
      </c>
      <c r="B2051" s="33" t="s">
        <v>434</v>
      </c>
      <c r="C2051" s="33" t="s">
        <v>9</v>
      </c>
      <c r="D2051" s="29">
        <v>2.0</v>
      </c>
      <c r="E2051" s="30">
        <v>1600.0</v>
      </c>
      <c r="F2051" s="25" t="s">
        <v>10</v>
      </c>
      <c r="G2051" s="38">
        <v>46053.0</v>
      </c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</row>
    <row r="2052" ht="14.25" customHeight="1">
      <c r="A2052" s="40">
        <v>46050.0</v>
      </c>
      <c r="B2052" s="33" t="s">
        <v>1150</v>
      </c>
      <c r="C2052" s="33" t="s">
        <v>138</v>
      </c>
      <c r="D2052" s="29">
        <v>4.0</v>
      </c>
      <c r="E2052" s="30">
        <v>2240.0</v>
      </c>
      <c r="F2052" s="25" t="s">
        <v>10</v>
      </c>
      <c r="G2052" s="38">
        <v>46050.0</v>
      </c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</row>
    <row r="2053" ht="14.25" customHeight="1">
      <c r="A2053" s="40">
        <v>46050.0</v>
      </c>
      <c r="B2053" s="33" t="s">
        <v>1151</v>
      </c>
      <c r="C2053" s="33" t="s">
        <v>154</v>
      </c>
      <c r="D2053" s="29">
        <v>1.0</v>
      </c>
      <c r="E2053" s="30">
        <v>1605.0</v>
      </c>
      <c r="F2053" s="25" t="s">
        <v>10</v>
      </c>
      <c r="G2053" s="38">
        <v>46050.0</v>
      </c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</row>
    <row r="2054" ht="14.25" customHeight="1">
      <c r="A2054" s="40">
        <v>46051.0</v>
      </c>
      <c r="B2054" s="33" t="s">
        <v>1152</v>
      </c>
      <c r="C2054" s="33" t="s">
        <v>1153</v>
      </c>
      <c r="D2054" s="29">
        <v>1.0</v>
      </c>
      <c r="E2054" s="30">
        <v>495.0</v>
      </c>
      <c r="F2054" s="25" t="s">
        <v>10</v>
      </c>
      <c r="G2054" s="38">
        <v>46051.0</v>
      </c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</row>
    <row r="2055" ht="14.25" customHeight="1">
      <c r="A2055" s="40">
        <v>46051.0</v>
      </c>
      <c r="B2055" s="33" t="s">
        <v>609</v>
      </c>
      <c r="C2055" s="33" t="s">
        <v>711</v>
      </c>
      <c r="D2055" s="29">
        <v>4.0</v>
      </c>
      <c r="E2055" s="30">
        <v>2320.0</v>
      </c>
      <c r="F2055" s="25" t="s">
        <v>10</v>
      </c>
      <c r="G2055" s="38">
        <v>46051.0</v>
      </c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</row>
    <row r="2056" ht="14.25" customHeight="1">
      <c r="A2056" s="40">
        <v>46051.0</v>
      </c>
      <c r="B2056" s="33" t="s">
        <v>449</v>
      </c>
      <c r="C2056" s="33" t="s">
        <v>9</v>
      </c>
      <c r="D2056" s="29">
        <v>2.0</v>
      </c>
      <c r="E2056" s="30">
        <v>1960.0</v>
      </c>
      <c r="F2056" s="25" t="s">
        <v>10</v>
      </c>
      <c r="G2056" s="38">
        <v>46053.0</v>
      </c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</row>
    <row r="2057" ht="14.25" customHeight="1">
      <c r="A2057" s="40">
        <v>46051.0</v>
      </c>
      <c r="B2057" s="33" t="s">
        <v>64</v>
      </c>
      <c r="C2057" s="33" t="s">
        <v>9</v>
      </c>
      <c r="D2057" s="29">
        <v>1.0</v>
      </c>
      <c r="E2057" s="30">
        <v>620.0</v>
      </c>
      <c r="F2057" s="25" t="s">
        <v>10</v>
      </c>
      <c r="G2057" s="38">
        <v>46053.0</v>
      </c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</row>
    <row r="2058" ht="14.25" customHeight="1">
      <c r="A2058" s="40">
        <v>46051.0</v>
      </c>
      <c r="B2058" s="33" t="s">
        <v>606</v>
      </c>
      <c r="C2058" s="33" t="s">
        <v>154</v>
      </c>
      <c r="D2058" s="29">
        <v>2.0</v>
      </c>
      <c r="E2058" s="30">
        <v>936.0</v>
      </c>
      <c r="F2058" s="25" t="s">
        <v>10</v>
      </c>
      <c r="G2058" s="38">
        <v>46051.0</v>
      </c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</row>
    <row r="2059" ht="14.25" customHeight="1">
      <c r="A2059" s="40">
        <v>46052.0</v>
      </c>
      <c r="B2059" s="33" t="s">
        <v>95</v>
      </c>
      <c r="C2059" s="33" t="s">
        <v>126</v>
      </c>
      <c r="D2059" s="29">
        <v>2.0</v>
      </c>
      <c r="E2059" s="30">
        <v>2400.0</v>
      </c>
      <c r="F2059" s="25" t="s">
        <v>122</v>
      </c>
      <c r="G2059" s="3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</row>
    <row r="2060" ht="14.25" customHeight="1">
      <c r="A2060" s="40">
        <v>46052.0</v>
      </c>
      <c r="B2060" s="33" t="s">
        <v>609</v>
      </c>
      <c r="C2060" s="33" t="s">
        <v>138</v>
      </c>
      <c r="D2060" s="29">
        <v>4.0</v>
      </c>
      <c r="E2060" s="30">
        <v>2320.0</v>
      </c>
      <c r="F2060" s="25" t="s">
        <v>10</v>
      </c>
      <c r="G2060" s="38">
        <v>46052.0</v>
      </c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</row>
    <row r="2061" ht="14.25" customHeight="1">
      <c r="A2061" s="40">
        <v>46052.0</v>
      </c>
      <c r="B2061" s="33" t="s">
        <v>876</v>
      </c>
      <c r="C2061" s="33" t="s">
        <v>138</v>
      </c>
      <c r="D2061" s="29">
        <v>4.0</v>
      </c>
      <c r="E2061" s="30">
        <v>2420.0</v>
      </c>
      <c r="F2061" s="25" t="s">
        <v>10</v>
      </c>
      <c r="G2061" s="38">
        <v>46052.0</v>
      </c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</row>
    <row r="2062" ht="14.25" customHeight="1">
      <c r="A2062" s="40">
        <v>46052.0</v>
      </c>
      <c r="B2062" s="33" t="s">
        <v>47</v>
      </c>
      <c r="C2062" s="33" t="s">
        <v>133</v>
      </c>
      <c r="D2062" s="29">
        <v>2.0</v>
      </c>
      <c r="E2062" s="41">
        <v>3200.0</v>
      </c>
      <c r="F2062" s="25" t="s">
        <v>10</v>
      </c>
      <c r="G2062" s="38">
        <v>46097.0</v>
      </c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</row>
    <row r="2063" ht="14.25" customHeight="1">
      <c r="A2063" s="40">
        <v>46052.0</v>
      </c>
      <c r="B2063" s="33" t="s">
        <v>118</v>
      </c>
      <c r="C2063" s="33" t="s">
        <v>154</v>
      </c>
      <c r="D2063" s="29">
        <v>2.0</v>
      </c>
      <c r="E2063" s="30">
        <v>1630.0</v>
      </c>
      <c r="F2063" s="25" t="s">
        <v>10</v>
      </c>
      <c r="G2063" s="38">
        <v>46052.0</v>
      </c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</row>
    <row r="2064" ht="14.25" customHeight="1">
      <c r="A2064" s="40">
        <v>46052.0</v>
      </c>
      <c r="B2064" s="33" t="s">
        <v>1154</v>
      </c>
      <c r="C2064" s="33" t="s">
        <v>133</v>
      </c>
      <c r="D2064" s="29">
        <v>2.0</v>
      </c>
      <c r="E2064" s="41">
        <v>2200.0</v>
      </c>
      <c r="F2064" s="25" t="s">
        <v>10</v>
      </c>
      <c r="G2064" s="38">
        <v>46097.0</v>
      </c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</row>
    <row r="2065" ht="14.25" customHeight="1">
      <c r="A2065" s="40">
        <v>46052.0</v>
      </c>
      <c r="B2065" s="33" t="s">
        <v>239</v>
      </c>
      <c r="C2065" s="33" t="s">
        <v>9</v>
      </c>
      <c r="D2065" s="29">
        <v>1.0</v>
      </c>
      <c r="E2065" s="30">
        <v>1150.0</v>
      </c>
      <c r="F2065" s="25" t="s">
        <v>10</v>
      </c>
      <c r="G2065" s="38">
        <v>46053.0</v>
      </c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</row>
    <row r="2066" ht="14.25" customHeight="1">
      <c r="A2066" s="40">
        <v>46055.0</v>
      </c>
      <c r="B2066" s="33" t="s">
        <v>344</v>
      </c>
      <c r="C2066" s="33" t="s">
        <v>711</v>
      </c>
      <c r="D2066" s="29">
        <v>2.0</v>
      </c>
      <c r="E2066" s="30">
        <v>1160.0</v>
      </c>
      <c r="F2066" s="25" t="s">
        <v>10</v>
      </c>
      <c r="G2066" s="38">
        <v>46055.0</v>
      </c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</row>
    <row r="2067" ht="14.25" customHeight="1">
      <c r="A2067" s="40">
        <v>46055.0</v>
      </c>
      <c r="B2067" s="33" t="s">
        <v>744</v>
      </c>
      <c r="C2067" s="33" t="s">
        <v>143</v>
      </c>
      <c r="D2067" s="29">
        <v>2.0</v>
      </c>
      <c r="E2067" s="30">
        <v>1400.0</v>
      </c>
      <c r="F2067" s="25" t="s">
        <v>122</v>
      </c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</row>
    <row r="2068" ht="14.25" customHeight="1">
      <c r="A2068" s="40">
        <v>46055.0</v>
      </c>
      <c r="B2068" s="33" t="s">
        <v>798</v>
      </c>
      <c r="C2068" s="33" t="s">
        <v>143</v>
      </c>
      <c r="D2068" s="29">
        <v>3.0</v>
      </c>
      <c r="E2068" s="30">
        <v>6150.0</v>
      </c>
      <c r="F2068" s="25" t="s">
        <v>122</v>
      </c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</row>
    <row r="2069" ht="14.25" customHeight="1">
      <c r="A2069" s="40">
        <v>46056.0</v>
      </c>
      <c r="B2069" s="33" t="s">
        <v>1155</v>
      </c>
      <c r="C2069" s="33" t="s">
        <v>136</v>
      </c>
      <c r="D2069" s="29">
        <v>1.0</v>
      </c>
      <c r="E2069" s="30">
        <v>1470.0</v>
      </c>
      <c r="F2069" s="25" t="s">
        <v>10</v>
      </c>
      <c r="G2069" s="38">
        <v>46056.0</v>
      </c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</row>
    <row r="2070" ht="14.25" customHeight="1">
      <c r="A2070" s="40">
        <v>46056.0</v>
      </c>
      <c r="B2070" s="33" t="s">
        <v>1156</v>
      </c>
      <c r="C2070" s="33" t="s">
        <v>9</v>
      </c>
      <c r="D2070" s="29">
        <v>1.0</v>
      </c>
      <c r="E2070" s="30">
        <v>850.0</v>
      </c>
      <c r="F2070" s="25" t="s">
        <v>10</v>
      </c>
      <c r="G2070" s="38">
        <v>46058.0</v>
      </c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</row>
    <row r="2071" ht="14.25" customHeight="1">
      <c r="A2071" s="40">
        <v>46056.0</v>
      </c>
      <c r="B2071" s="33" t="s">
        <v>370</v>
      </c>
      <c r="C2071" s="33" t="s">
        <v>711</v>
      </c>
      <c r="D2071" s="29">
        <v>4.0</v>
      </c>
      <c r="E2071" s="30">
        <v>4000.0</v>
      </c>
      <c r="F2071" s="25" t="s">
        <v>10</v>
      </c>
      <c r="G2071" s="38">
        <v>46056.0</v>
      </c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</row>
    <row r="2072" ht="14.25" customHeight="1">
      <c r="A2072" s="40">
        <v>46056.0</v>
      </c>
      <c r="B2072" s="33" t="s">
        <v>1157</v>
      </c>
      <c r="C2072" s="33" t="s">
        <v>133</v>
      </c>
      <c r="D2072" s="29">
        <v>2.0</v>
      </c>
      <c r="E2072" s="41">
        <v>2740.0</v>
      </c>
      <c r="F2072" s="25" t="s">
        <v>10</v>
      </c>
      <c r="G2072" s="38">
        <v>46097.0</v>
      </c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</row>
    <row r="2073" ht="14.25" customHeight="1">
      <c r="A2073" s="40">
        <v>46059.0</v>
      </c>
      <c r="B2073" s="33" t="s">
        <v>1158</v>
      </c>
      <c r="C2073" s="33" t="s">
        <v>9</v>
      </c>
      <c r="D2073" s="29">
        <v>2.0</v>
      </c>
      <c r="E2073" s="30">
        <v>1060.0</v>
      </c>
      <c r="F2073" s="25" t="s">
        <v>10</v>
      </c>
      <c r="G2073" s="38">
        <v>46065.0</v>
      </c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</row>
    <row r="2074" ht="14.25" customHeight="1">
      <c r="A2074" s="40">
        <v>46059.0</v>
      </c>
      <c r="B2074" s="33" t="s">
        <v>789</v>
      </c>
      <c r="C2074" s="33" t="s">
        <v>133</v>
      </c>
      <c r="D2074" s="29">
        <v>4.0</v>
      </c>
      <c r="E2074" s="30">
        <v>4300.0</v>
      </c>
      <c r="F2074" s="25" t="s">
        <v>10</v>
      </c>
      <c r="G2074" s="38">
        <v>46059.0</v>
      </c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</row>
    <row r="2075" ht="14.25" customHeight="1">
      <c r="A2075" s="40">
        <v>46059.0</v>
      </c>
      <c r="B2075" s="33" t="s">
        <v>1143</v>
      </c>
      <c r="C2075" s="33" t="s">
        <v>711</v>
      </c>
      <c r="D2075" s="29">
        <v>2.0</v>
      </c>
      <c r="E2075" s="30">
        <v>2400.0</v>
      </c>
      <c r="F2075" s="25" t="s">
        <v>10</v>
      </c>
      <c r="G2075" s="38">
        <v>46059.0</v>
      </c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</row>
    <row r="2076" ht="14.25" customHeight="1">
      <c r="A2076" s="40">
        <v>46059.0</v>
      </c>
      <c r="B2076" s="33" t="s">
        <v>774</v>
      </c>
      <c r="C2076" s="33" t="s">
        <v>83</v>
      </c>
      <c r="D2076" s="29">
        <v>2.0</v>
      </c>
      <c r="E2076" s="30">
        <v>4000.0</v>
      </c>
      <c r="F2076" s="25" t="s">
        <v>10</v>
      </c>
      <c r="G2076" s="38">
        <v>46060.0</v>
      </c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</row>
    <row r="2077" ht="14.25" customHeight="1">
      <c r="A2077" s="40">
        <v>46062.0</v>
      </c>
      <c r="B2077" s="33" t="s">
        <v>1159</v>
      </c>
      <c r="C2077" s="33" t="s">
        <v>138</v>
      </c>
      <c r="D2077" s="29">
        <v>1.0</v>
      </c>
      <c r="E2077" s="30">
        <v>1100.0</v>
      </c>
      <c r="F2077" s="25" t="s">
        <v>10</v>
      </c>
      <c r="G2077" s="38">
        <v>46062.0</v>
      </c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</row>
    <row r="2078" ht="14.25" customHeight="1">
      <c r="A2078" s="40">
        <v>46062.0</v>
      </c>
      <c r="B2078" s="33" t="s">
        <v>1160</v>
      </c>
      <c r="C2078" s="33" t="s">
        <v>83</v>
      </c>
      <c r="D2078" s="29">
        <v>1.0</v>
      </c>
      <c r="E2078" s="30">
        <v>2000.0</v>
      </c>
      <c r="F2078" s="25" t="s">
        <v>10</v>
      </c>
      <c r="G2078" s="38">
        <v>46065.0</v>
      </c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</row>
    <row r="2079" ht="14.25" customHeight="1">
      <c r="A2079" s="40">
        <v>46062.0</v>
      </c>
      <c r="B2079" s="33" t="s">
        <v>22</v>
      </c>
      <c r="C2079" s="33" t="s">
        <v>9</v>
      </c>
      <c r="D2079" s="29">
        <v>2.0</v>
      </c>
      <c r="E2079" s="30">
        <v>2500.0</v>
      </c>
      <c r="F2079" s="25" t="s">
        <v>10</v>
      </c>
      <c r="G2079" s="38">
        <v>46065.0</v>
      </c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</row>
    <row r="2080" ht="14.25" customHeight="1">
      <c r="A2080" s="40">
        <v>46062.0</v>
      </c>
      <c r="B2080" s="33" t="s">
        <v>744</v>
      </c>
      <c r="C2080" s="33" t="s">
        <v>9</v>
      </c>
      <c r="D2080" s="29">
        <v>1.0</v>
      </c>
      <c r="E2080" s="30">
        <v>680.0</v>
      </c>
      <c r="F2080" s="25" t="s">
        <v>10</v>
      </c>
      <c r="G2080" s="38">
        <v>46065.0</v>
      </c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</row>
    <row r="2081" ht="14.25" customHeight="1">
      <c r="A2081" s="40">
        <v>46062.0</v>
      </c>
      <c r="B2081" s="33" t="s">
        <v>551</v>
      </c>
      <c r="C2081" s="33" t="s">
        <v>143</v>
      </c>
      <c r="D2081" s="29">
        <v>1.0</v>
      </c>
      <c r="E2081" s="30">
        <v>1150.0</v>
      </c>
      <c r="F2081" s="25" t="s">
        <v>122</v>
      </c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</row>
    <row r="2082" ht="14.25" customHeight="1">
      <c r="A2082" s="40">
        <v>46062.0</v>
      </c>
      <c r="B2082" s="33" t="s">
        <v>634</v>
      </c>
      <c r="C2082" s="33" t="s">
        <v>154</v>
      </c>
      <c r="D2082" s="29">
        <v>4.0</v>
      </c>
      <c r="E2082" s="30">
        <v>1682.0</v>
      </c>
      <c r="F2082" s="25" t="s">
        <v>10</v>
      </c>
      <c r="G2082" s="38">
        <v>46062.0</v>
      </c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</row>
    <row r="2083" ht="14.25" customHeight="1">
      <c r="A2083" s="40">
        <v>46063.0</v>
      </c>
      <c r="B2083" s="33" t="s">
        <v>145</v>
      </c>
      <c r="C2083" s="33" t="s">
        <v>143</v>
      </c>
      <c r="D2083" s="29">
        <v>2.0</v>
      </c>
      <c r="E2083" s="30">
        <v>2400.0</v>
      </c>
      <c r="F2083" s="25" t="s">
        <v>122</v>
      </c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</row>
    <row r="2084" ht="14.25" customHeight="1">
      <c r="A2084" s="40">
        <v>46063.0</v>
      </c>
      <c r="B2084" s="33" t="s">
        <v>253</v>
      </c>
      <c r="C2084" s="33" t="s">
        <v>138</v>
      </c>
      <c r="D2084" s="29">
        <v>1.0</v>
      </c>
      <c r="E2084" s="30">
        <v>950.0</v>
      </c>
      <c r="F2084" s="25" t="s">
        <v>10</v>
      </c>
      <c r="G2084" s="38">
        <v>46064.0</v>
      </c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</row>
    <row r="2085" ht="14.25" customHeight="1">
      <c r="A2085" s="40">
        <v>46063.0</v>
      </c>
      <c r="B2085" s="33" t="s">
        <v>450</v>
      </c>
      <c r="C2085" s="33" t="s">
        <v>138</v>
      </c>
      <c r="D2085" s="29">
        <v>2.0</v>
      </c>
      <c r="E2085" s="30">
        <v>2700.0</v>
      </c>
      <c r="F2085" s="25" t="s">
        <v>10</v>
      </c>
      <c r="G2085" s="38">
        <v>46064.0</v>
      </c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</row>
    <row r="2086" ht="14.25" customHeight="1">
      <c r="A2086" s="40">
        <v>46064.0</v>
      </c>
      <c r="B2086" s="33" t="s">
        <v>1161</v>
      </c>
      <c r="C2086" s="33" t="s">
        <v>156</v>
      </c>
      <c r="D2086" s="29">
        <v>2.0</v>
      </c>
      <c r="E2086" s="30">
        <v>2100.0</v>
      </c>
      <c r="F2086" s="25" t="s">
        <v>10</v>
      </c>
      <c r="G2086" s="38">
        <v>46064.0</v>
      </c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</row>
    <row r="2087" ht="14.25" customHeight="1">
      <c r="A2087" s="40">
        <v>46064.0</v>
      </c>
      <c r="B2087" s="33" t="s">
        <v>1162</v>
      </c>
      <c r="C2087" s="33" t="s">
        <v>154</v>
      </c>
      <c r="D2087" s="29">
        <v>2.0</v>
      </c>
      <c r="E2087" s="30">
        <v>1630.0</v>
      </c>
      <c r="F2087" s="25" t="s">
        <v>10</v>
      </c>
      <c r="G2087" s="38">
        <v>46064.0</v>
      </c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</row>
    <row r="2088" ht="14.25" customHeight="1">
      <c r="A2088" s="40">
        <v>46064.0</v>
      </c>
      <c r="B2088" s="33" t="s">
        <v>803</v>
      </c>
      <c r="C2088" s="33" t="s">
        <v>143</v>
      </c>
      <c r="D2088" s="29">
        <v>2.0</v>
      </c>
      <c r="E2088" s="30">
        <v>2600.0</v>
      </c>
      <c r="F2088" s="25" t="s">
        <v>122</v>
      </c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</row>
    <row r="2089" ht="14.25" customHeight="1">
      <c r="A2089" s="40">
        <v>46064.0</v>
      </c>
      <c r="B2089" s="33" t="s">
        <v>744</v>
      </c>
      <c r="C2089" s="33" t="s">
        <v>9</v>
      </c>
      <c r="D2089" s="29">
        <v>4.0</v>
      </c>
      <c r="E2089" s="30">
        <v>2800.0</v>
      </c>
      <c r="F2089" s="25" t="s">
        <v>10</v>
      </c>
      <c r="G2089" s="38">
        <v>46065.0</v>
      </c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</row>
    <row r="2090" ht="14.25" customHeight="1">
      <c r="A2090" s="36">
        <v>46065.0</v>
      </c>
      <c r="B2090" s="33" t="s">
        <v>932</v>
      </c>
      <c r="C2090" s="33" t="s">
        <v>126</v>
      </c>
      <c r="D2090" s="29">
        <v>4.0</v>
      </c>
      <c r="E2090" s="30">
        <v>3600.0</v>
      </c>
      <c r="F2090" s="25" t="s">
        <v>122</v>
      </c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</row>
    <row r="2091" ht="14.25" customHeight="1">
      <c r="A2091" s="36">
        <v>46065.0</v>
      </c>
      <c r="B2091" s="33" t="s">
        <v>258</v>
      </c>
      <c r="C2091" s="33" t="s">
        <v>9</v>
      </c>
      <c r="D2091" s="29">
        <v>2.0</v>
      </c>
      <c r="E2091" s="30">
        <v>920.0</v>
      </c>
      <c r="F2091" s="25" t="s">
        <v>10</v>
      </c>
      <c r="G2091" s="26">
        <v>46070.0</v>
      </c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</row>
    <row r="2092" ht="14.25" customHeight="1">
      <c r="A2092" s="40">
        <v>46065.0</v>
      </c>
      <c r="B2092" s="33" t="s">
        <v>1163</v>
      </c>
      <c r="C2092" s="33" t="s">
        <v>138</v>
      </c>
      <c r="D2092" s="29">
        <v>4.0</v>
      </c>
      <c r="E2092" s="30">
        <v>4300.0</v>
      </c>
      <c r="F2092" s="25" t="s">
        <v>10</v>
      </c>
      <c r="G2092" s="38">
        <v>46065.0</v>
      </c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</row>
    <row r="2093" ht="14.25" customHeight="1">
      <c r="A2093" s="40">
        <v>46066.0</v>
      </c>
      <c r="B2093" s="33" t="s">
        <v>13</v>
      </c>
      <c r="C2093" s="33" t="s">
        <v>133</v>
      </c>
      <c r="D2093" s="29">
        <v>1.0</v>
      </c>
      <c r="E2093" s="41">
        <v>1400.0</v>
      </c>
      <c r="F2093" s="25" t="s">
        <v>10</v>
      </c>
      <c r="G2093" s="38">
        <v>46097.0</v>
      </c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</row>
    <row r="2094" ht="14.25" customHeight="1">
      <c r="A2094" s="40">
        <v>46066.0</v>
      </c>
      <c r="B2094" s="33" t="s">
        <v>300</v>
      </c>
      <c r="C2094" s="33" t="s">
        <v>133</v>
      </c>
      <c r="D2094" s="29">
        <v>2.0</v>
      </c>
      <c r="E2094" s="41">
        <v>1480.0</v>
      </c>
      <c r="F2094" s="25" t="s">
        <v>10</v>
      </c>
      <c r="G2094" s="38">
        <v>46097.0</v>
      </c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</row>
    <row r="2095" ht="14.25" customHeight="1">
      <c r="A2095" s="40">
        <v>46066.0</v>
      </c>
      <c r="B2095" s="33" t="s">
        <v>1164</v>
      </c>
      <c r="C2095" s="33" t="s">
        <v>154</v>
      </c>
      <c r="D2095" s="29">
        <v>2.0</v>
      </c>
      <c r="E2095" s="30">
        <v>800.0</v>
      </c>
      <c r="F2095" s="25" t="s">
        <v>10</v>
      </c>
      <c r="G2095" s="38">
        <v>46066.0</v>
      </c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</row>
    <row r="2096" ht="14.25" customHeight="1">
      <c r="A2096" s="40">
        <v>46066.0</v>
      </c>
      <c r="B2096" s="33" t="s">
        <v>859</v>
      </c>
      <c r="C2096" s="33" t="s">
        <v>126</v>
      </c>
      <c r="D2096" s="29">
        <v>1.0</v>
      </c>
      <c r="E2096" s="30">
        <v>800.0</v>
      </c>
      <c r="F2096" s="25" t="s">
        <v>122</v>
      </c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</row>
    <row r="2097" ht="14.25" customHeight="1">
      <c r="A2097" s="40">
        <v>46066.0</v>
      </c>
      <c r="B2097" s="33" t="s">
        <v>859</v>
      </c>
      <c r="C2097" s="33" t="s">
        <v>9</v>
      </c>
      <c r="D2097" s="29">
        <v>1.0</v>
      </c>
      <c r="E2097" s="30">
        <v>850.0</v>
      </c>
      <c r="F2097" s="25" t="s">
        <v>10</v>
      </c>
      <c r="G2097" s="38">
        <v>46070.0</v>
      </c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</row>
    <row r="2098" ht="14.25" customHeight="1">
      <c r="A2098" s="40">
        <v>46067.0</v>
      </c>
      <c r="B2098" s="33" t="s">
        <v>70</v>
      </c>
      <c r="C2098" s="33" t="s">
        <v>133</v>
      </c>
      <c r="D2098" s="29">
        <v>4.0</v>
      </c>
      <c r="E2098" s="41">
        <v>7200.0</v>
      </c>
      <c r="F2098" s="25" t="s">
        <v>10</v>
      </c>
      <c r="G2098" s="38">
        <v>46097.0</v>
      </c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</row>
    <row r="2099" ht="14.25" customHeight="1">
      <c r="A2099" s="40">
        <v>46069.0</v>
      </c>
      <c r="B2099" s="33" t="s">
        <v>64</v>
      </c>
      <c r="C2099" s="33" t="s">
        <v>9</v>
      </c>
      <c r="D2099" s="29">
        <v>2.0</v>
      </c>
      <c r="E2099" s="30">
        <v>1240.0</v>
      </c>
      <c r="F2099" s="25" t="s">
        <v>10</v>
      </c>
      <c r="G2099" s="38">
        <v>46070.0</v>
      </c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</row>
    <row r="2100" ht="14.25" customHeight="1">
      <c r="A2100" s="40">
        <v>46069.0</v>
      </c>
      <c r="B2100" s="33" t="s">
        <v>797</v>
      </c>
      <c r="C2100" s="33" t="s">
        <v>9</v>
      </c>
      <c r="D2100" s="29">
        <v>1.0</v>
      </c>
      <c r="E2100" s="30">
        <v>1050.0</v>
      </c>
      <c r="F2100" s="25" t="s">
        <v>10</v>
      </c>
      <c r="G2100" s="38">
        <v>46070.0</v>
      </c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</row>
    <row r="2101" ht="14.25" customHeight="1">
      <c r="A2101" s="40">
        <v>46069.0</v>
      </c>
      <c r="B2101" s="33" t="s">
        <v>420</v>
      </c>
      <c r="C2101" s="33" t="s">
        <v>126</v>
      </c>
      <c r="D2101" s="29">
        <v>2.0</v>
      </c>
      <c r="E2101" s="30">
        <v>3500.0</v>
      </c>
      <c r="F2101" s="25" t="s">
        <v>122</v>
      </c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</row>
    <row r="2102" ht="14.25" customHeight="1">
      <c r="A2102" s="40">
        <v>46069.0</v>
      </c>
      <c r="B2102" s="33" t="s">
        <v>1165</v>
      </c>
      <c r="C2102" s="33" t="s">
        <v>133</v>
      </c>
      <c r="D2102" s="29">
        <v>4.0</v>
      </c>
      <c r="E2102" s="41">
        <v>5600.0</v>
      </c>
      <c r="F2102" s="25" t="s">
        <v>10</v>
      </c>
      <c r="G2102" s="38">
        <v>46097.0</v>
      </c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</row>
    <row r="2103" ht="14.25" customHeight="1">
      <c r="A2103" s="40">
        <v>46069.0</v>
      </c>
      <c r="B2103" s="33" t="s">
        <v>1166</v>
      </c>
      <c r="C2103" s="33" t="s">
        <v>9</v>
      </c>
      <c r="D2103" s="29">
        <v>1.0</v>
      </c>
      <c r="E2103" s="30">
        <v>850.0</v>
      </c>
      <c r="F2103" s="25" t="s">
        <v>10</v>
      </c>
      <c r="G2103" s="38">
        <v>46070.0</v>
      </c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</row>
    <row r="2104" ht="14.25" customHeight="1">
      <c r="A2104" s="40">
        <v>46069.0</v>
      </c>
      <c r="B2104" s="33" t="s">
        <v>258</v>
      </c>
      <c r="C2104" s="33" t="s">
        <v>9</v>
      </c>
      <c r="D2104" s="29">
        <v>2.0</v>
      </c>
      <c r="E2104" s="30">
        <v>920.0</v>
      </c>
      <c r="F2104" s="25" t="s">
        <v>10</v>
      </c>
      <c r="G2104" s="38">
        <v>46070.0</v>
      </c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</row>
    <row r="2105" ht="14.25" customHeight="1">
      <c r="A2105" s="40">
        <v>46069.0</v>
      </c>
      <c r="B2105" s="33" t="s">
        <v>1023</v>
      </c>
      <c r="C2105" s="33" t="s">
        <v>133</v>
      </c>
      <c r="D2105" s="29">
        <v>4.0</v>
      </c>
      <c r="E2105" s="41">
        <v>2720.0</v>
      </c>
      <c r="F2105" s="25" t="s">
        <v>10</v>
      </c>
      <c r="G2105" s="38">
        <v>46097.0</v>
      </c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</row>
    <row r="2106" ht="14.25" customHeight="1">
      <c r="A2106" s="36">
        <v>46070.0</v>
      </c>
      <c r="B2106" s="33" t="s">
        <v>950</v>
      </c>
      <c r="C2106" s="33" t="s">
        <v>143</v>
      </c>
      <c r="D2106" s="29">
        <v>1.0</v>
      </c>
      <c r="E2106" s="30">
        <v>1300.0</v>
      </c>
      <c r="F2106" s="25" t="s">
        <v>122</v>
      </c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</row>
    <row r="2107" ht="14.25" customHeight="1">
      <c r="A2107" s="40">
        <v>46070.0</v>
      </c>
      <c r="B2107" s="33" t="s">
        <v>64</v>
      </c>
      <c r="C2107" s="33" t="s">
        <v>9</v>
      </c>
      <c r="D2107" s="29">
        <v>2.0</v>
      </c>
      <c r="E2107" s="30">
        <v>1240.0</v>
      </c>
      <c r="F2107" s="25" t="s">
        <v>10</v>
      </c>
      <c r="G2107" s="38">
        <v>46070.0</v>
      </c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</row>
    <row r="2108" ht="14.25" customHeight="1">
      <c r="A2108" s="40">
        <v>46070.0</v>
      </c>
      <c r="B2108" s="33" t="s">
        <v>1072</v>
      </c>
      <c r="C2108" s="33" t="s">
        <v>126</v>
      </c>
      <c r="D2108" s="29">
        <v>2.0</v>
      </c>
      <c r="E2108" s="30">
        <v>1760.0</v>
      </c>
      <c r="F2108" s="25" t="s">
        <v>122</v>
      </c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</row>
    <row r="2109" ht="14.25" customHeight="1">
      <c r="A2109" s="40">
        <v>46071.0</v>
      </c>
      <c r="B2109" s="33" t="s">
        <v>1107</v>
      </c>
      <c r="C2109" s="33" t="s">
        <v>325</v>
      </c>
      <c r="D2109" s="29">
        <v>4.0</v>
      </c>
      <c r="E2109" s="30">
        <v>3000.0</v>
      </c>
      <c r="F2109" s="25" t="s">
        <v>122</v>
      </c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</row>
    <row r="2110" ht="14.25" customHeight="1">
      <c r="A2110" s="40">
        <v>46071.0</v>
      </c>
      <c r="B2110" s="33" t="s">
        <v>310</v>
      </c>
      <c r="C2110" s="33" t="s">
        <v>138</v>
      </c>
      <c r="D2110" s="29">
        <v>2.0</v>
      </c>
      <c r="E2110" s="30">
        <v>1640.0</v>
      </c>
      <c r="F2110" s="25" t="s">
        <v>10</v>
      </c>
      <c r="G2110" s="38">
        <v>46071.0</v>
      </c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</row>
    <row r="2111" ht="14.25" customHeight="1">
      <c r="A2111" s="40">
        <v>46072.0</v>
      </c>
      <c r="B2111" s="33" t="s">
        <v>1167</v>
      </c>
      <c r="C2111" s="33" t="s">
        <v>126</v>
      </c>
      <c r="D2111" s="29">
        <v>4.0</v>
      </c>
      <c r="E2111" s="30">
        <v>7000.0</v>
      </c>
      <c r="F2111" s="25" t="s">
        <v>122</v>
      </c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</row>
    <row r="2112" ht="14.25" customHeight="1">
      <c r="A2112" s="42">
        <v>46072.0</v>
      </c>
      <c r="B2112" s="33" t="s">
        <v>1168</v>
      </c>
      <c r="C2112" s="33" t="s">
        <v>154</v>
      </c>
      <c r="D2112" s="29">
        <v>1.0</v>
      </c>
      <c r="E2112" s="30">
        <v>736.0</v>
      </c>
      <c r="F2112" s="25" t="s">
        <v>10</v>
      </c>
      <c r="G2112" s="38">
        <v>46072.0</v>
      </c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</row>
    <row r="2113" ht="14.25" customHeight="1">
      <c r="A2113" s="43">
        <v>46072.0</v>
      </c>
      <c r="B2113" s="33" t="s">
        <v>1169</v>
      </c>
      <c r="C2113" s="33" t="s">
        <v>133</v>
      </c>
      <c r="D2113" s="29">
        <v>2.0</v>
      </c>
      <c r="E2113" s="41">
        <v>5300.0</v>
      </c>
      <c r="F2113" s="25" t="s">
        <v>10</v>
      </c>
      <c r="G2113" s="38">
        <v>46097.0</v>
      </c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</row>
    <row r="2114" ht="14.25" customHeight="1">
      <c r="A2114" s="40">
        <v>46072.0</v>
      </c>
      <c r="B2114" s="33" t="s">
        <v>1170</v>
      </c>
      <c r="C2114" s="33" t="s">
        <v>9</v>
      </c>
      <c r="D2114" s="29">
        <v>2.0</v>
      </c>
      <c r="E2114" s="30">
        <v>2900.0</v>
      </c>
      <c r="F2114" s="25" t="s">
        <v>10</v>
      </c>
      <c r="G2114" s="38">
        <v>46079.0</v>
      </c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</row>
    <row r="2115" ht="14.25" customHeight="1">
      <c r="A2115" s="40">
        <v>46072.0</v>
      </c>
      <c r="B2115" s="33" t="s">
        <v>551</v>
      </c>
      <c r="C2115" s="33" t="s">
        <v>138</v>
      </c>
      <c r="D2115" s="29">
        <v>2.0</v>
      </c>
      <c r="E2115" s="30">
        <v>2500.0</v>
      </c>
      <c r="F2115" s="25" t="s">
        <v>122</v>
      </c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</row>
    <row r="2116" ht="14.25" customHeight="1">
      <c r="A2116" s="40">
        <v>46073.0</v>
      </c>
      <c r="B2116" s="33" t="s">
        <v>1171</v>
      </c>
      <c r="C2116" s="33" t="s">
        <v>9</v>
      </c>
      <c r="D2116" s="29">
        <v>2.0</v>
      </c>
      <c r="E2116" s="30">
        <v>2200.0</v>
      </c>
      <c r="F2116" s="25" t="s">
        <v>10</v>
      </c>
      <c r="G2116" s="38">
        <v>46079.0</v>
      </c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</row>
    <row r="2117" ht="14.25" customHeight="1">
      <c r="A2117" s="40">
        <v>46074.0</v>
      </c>
      <c r="B2117" s="33" t="s">
        <v>704</v>
      </c>
      <c r="C2117" s="33" t="s">
        <v>1172</v>
      </c>
      <c r="D2117" s="29">
        <v>1.0</v>
      </c>
      <c r="E2117" s="30">
        <v>835.0</v>
      </c>
      <c r="F2117" s="25" t="s">
        <v>10</v>
      </c>
      <c r="G2117" s="38">
        <v>46074.0</v>
      </c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</row>
    <row r="2118" ht="14.25" customHeight="1">
      <c r="A2118" s="40">
        <v>46076.0</v>
      </c>
      <c r="B2118" s="33" t="s">
        <v>1173</v>
      </c>
      <c r="C2118" s="33" t="s">
        <v>133</v>
      </c>
      <c r="D2118" s="29">
        <v>2.0</v>
      </c>
      <c r="E2118" s="41">
        <v>3400.0</v>
      </c>
      <c r="F2118" s="25" t="s">
        <v>10</v>
      </c>
      <c r="G2118" s="38">
        <v>46097.0</v>
      </c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</row>
    <row r="2119" ht="14.25" customHeight="1">
      <c r="A2119" s="40">
        <v>46076.0</v>
      </c>
      <c r="B2119" s="33" t="s">
        <v>1173</v>
      </c>
      <c r="C2119" s="33" t="s">
        <v>126</v>
      </c>
      <c r="D2119" s="29">
        <v>2.0</v>
      </c>
      <c r="E2119" s="30">
        <v>3400.0</v>
      </c>
      <c r="F2119" s="25" t="s">
        <v>122</v>
      </c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</row>
    <row r="2120" ht="14.25" customHeight="1">
      <c r="A2120" s="40">
        <v>46076.0</v>
      </c>
      <c r="B2120" s="33" t="s">
        <v>214</v>
      </c>
      <c r="C2120" s="33" t="s">
        <v>1172</v>
      </c>
      <c r="D2120" s="29">
        <v>1.0</v>
      </c>
      <c r="E2120" s="30">
        <v>1300.0</v>
      </c>
      <c r="F2120" s="25" t="s">
        <v>10</v>
      </c>
      <c r="G2120" s="38">
        <v>46076.0</v>
      </c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</row>
    <row r="2121" ht="14.25" customHeight="1">
      <c r="A2121" s="40">
        <v>46076.0</v>
      </c>
      <c r="B2121" s="33" t="s">
        <v>773</v>
      </c>
      <c r="C2121" s="33" t="s">
        <v>138</v>
      </c>
      <c r="D2121" s="29">
        <v>2.0</v>
      </c>
      <c r="E2121" s="30">
        <v>1080.0</v>
      </c>
      <c r="F2121" s="25" t="s">
        <v>10</v>
      </c>
      <c r="G2121" s="38">
        <v>46076.0</v>
      </c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</row>
    <row r="2122" ht="14.25" customHeight="1">
      <c r="A2122" s="40">
        <v>46076.0</v>
      </c>
      <c r="B2122" s="33" t="s">
        <v>551</v>
      </c>
      <c r="C2122" s="33" t="s">
        <v>138</v>
      </c>
      <c r="D2122" s="29">
        <v>2.0</v>
      </c>
      <c r="E2122" s="30">
        <v>2500.0</v>
      </c>
      <c r="F2122" s="25" t="s">
        <v>10</v>
      </c>
      <c r="G2122" s="38">
        <v>46076.0</v>
      </c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</row>
    <row r="2123" ht="14.25" customHeight="1">
      <c r="A2123" s="40">
        <v>46078.0</v>
      </c>
      <c r="B2123" s="33" t="s">
        <v>118</v>
      </c>
      <c r="C2123" s="33" t="s">
        <v>154</v>
      </c>
      <c r="D2123" s="29">
        <v>2.0</v>
      </c>
      <c r="E2123" s="30">
        <v>1630.0</v>
      </c>
      <c r="F2123" s="25" t="s">
        <v>10</v>
      </c>
      <c r="G2123" s="38">
        <v>46078.0</v>
      </c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</row>
    <row r="2124" ht="14.25" customHeight="1">
      <c r="A2124" s="40">
        <v>46078.0</v>
      </c>
      <c r="B2124" s="33" t="s">
        <v>953</v>
      </c>
      <c r="C2124" s="33" t="s">
        <v>143</v>
      </c>
      <c r="D2124" s="29">
        <v>2.0</v>
      </c>
      <c r="E2124" s="30">
        <v>2300.0</v>
      </c>
      <c r="F2124" s="25" t="s">
        <v>122</v>
      </c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</row>
    <row r="2125" ht="14.25" customHeight="1">
      <c r="A2125" s="40">
        <v>46078.0</v>
      </c>
      <c r="B2125" s="33" t="s">
        <v>243</v>
      </c>
      <c r="C2125" s="33" t="s">
        <v>9</v>
      </c>
      <c r="D2125" s="29">
        <v>2.0</v>
      </c>
      <c r="E2125" s="30">
        <v>2300.0</v>
      </c>
      <c r="F2125" s="25" t="s">
        <v>10</v>
      </c>
      <c r="G2125" s="38">
        <v>46079.0</v>
      </c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</row>
    <row r="2126" ht="14.25" customHeight="1">
      <c r="A2126" s="40">
        <v>46078.0</v>
      </c>
      <c r="B2126" s="33" t="s">
        <v>16</v>
      </c>
      <c r="C2126" s="33" t="s">
        <v>9</v>
      </c>
      <c r="D2126" s="29">
        <v>1.0</v>
      </c>
      <c r="E2126" s="30">
        <v>1100.0</v>
      </c>
      <c r="F2126" s="25" t="s">
        <v>10</v>
      </c>
      <c r="G2126" s="38">
        <v>46079.0</v>
      </c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</row>
    <row r="2127" ht="14.25" customHeight="1">
      <c r="A2127" s="40">
        <v>46079.0</v>
      </c>
      <c r="B2127" s="33" t="s">
        <v>1104</v>
      </c>
      <c r="C2127" s="33" t="s">
        <v>1172</v>
      </c>
      <c r="D2127" s="29">
        <v>2.0</v>
      </c>
      <c r="E2127" s="30">
        <v>1600.0</v>
      </c>
      <c r="F2127" s="25" t="s">
        <v>10</v>
      </c>
      <c r="G2127" s="38">
        <v>46079.0</v>
      </c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</row>
    <row r="2128" ht="14.25" customHeight="1">
      <c r="A2128" s="40">
        <v>46079.0</v>
      </c>
      <c r="B2128" s="33" t="s">
        <v>258</v>
      </c>
      <c r="C2128" s="33" t="s">
        <v>138</v>
      </c>
      <c r="D2128" s="29">
        <v>2.0</v>
      </c>
      <c r="E2128" s="30">
        <v>940.0</v>
      </c>
      <c r="F2128" s="25" t="s">
        <v>10</v>
      </c>
      <c r="G2128" s="38">
        <v>46079.0</v>
      </c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</row>
    <row r="2129" ht="14.25" customHeight="1">
      <c r="A2129" s="40">
        <v>46079.0</v>
      </c>
      <c r="B2129" s="33" t="s">
        <v>456</v>
      </c>
      <c r="C2129" s="33" t="s">
        <v>154</v>
      </c>
      <c r="D2129" s="29">
        <v>2.0</v>
      </c>
      <c r="E2129" s="30">
        <v>1630.0</v>
      </c>
      <c r="F2129" s="25" t="s">
        <v>10</v>
      </c>
      <c r="G2129" s="38">
        <v>46079.0</v>
      </c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</row>
    <row r="2130" ht="14.25" customHeight="1">
      <c r="A2130" s="40">
        <v>46079.0</v>
      </c>
      <c r="B2130" s="33" t="s">
        <v>460</v>
      </c>
      <c r="C2130" s="33" t="s">
        <v>325</v>
      </c>
      <c r="D2130" s="29">
        <v>1.0</v>
      </c>
      <c r="E2130" s="30">
        <v>2650.0</v>
      </c>
      <c r="F2130" s="25" t="s">
        <v>122</v>
      </c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</row>
    <row r="2131" ht="14.25" customHeight="1">
      <c r="A2131" s="36">
        <v>46080.0</v>
      </c>
      <c r="B2131" s="33" t="s">
        <v>1165</v>
      </c>
      <c r="C2131" s="33" t="s">
        <v>9</v>
      </c>
      <c r="D2131" s="29">
        <v>2.0</v>
      </c>
      <c r="E2131" s="30">
        <v>2800.0</v>
      </c>
      <c r="F2131" s="25" t="s">
        <v>10</v>
      </c>
      <c r="G2131" s="38">
        <v>46091.0</v>
      </c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</row>
    <row r="2132" ht="14.25" customHeight="1">
      <c r="A2132" s="36">
        <v>46080.0</v>
      </c>
      <c r="B2132" s="33" t="s">
        <v>22</v>
      </c>
      <c r="C2132" s="33" t="s">
        <v>143</v>
      </c>
      <c r="D2132" s="29">
        <v>2.0</v>
      </c>
      <c r="E2132" s="30">
        <v>2500.0</v>
      </c>
      <c r="F2132" s="25" t="s">
        <v>122</v>
      </c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</row>
    <row r="2133" ht="14.25" customHeight="1">
      <c r="A2133" s="36">
        <v>46081.0</v>
      </c>
      <c r="B2133" s="33" t="s">
        <v>343</v>
      </c>
      <c r="C2133" s="33" t="s">
        <v>9</v>
      </c>
      <c r="D2133" s="29">
        <v>4.0</v>
      </c>
      <c r="E2133" s="30">
        <v>4600.0</v>
      </c>
      <c r="F2133" s="25" t="s">
        <v>10</v>
      </c>
      <c r="G2133" s="38">
        <v>46091.0</v>
      </c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</row>
    <row r="2134" ht="14.25" customHeight="1">
      <c r="A2134" s="40">
        <v>46083.0</v>
      </c>
      <c r="B2134" s="33" t="s">
        <v>835</v>
      </c>
      <c r="C2134" s="33" t="s">
        <v>133</v>
      </c>
      <c r="D2134" s="29">
        <v>4.0</v>
      </c>
      <c r="E2134" s="30">
        <v>5600.0</v>
      </c>
      <c r="F2134" s="25" t="s">
        <v>122</v>
      </c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</row>
    <row r="2135" ht="14.25" customHeight="1">
      <c r="A2135" s="40">
        <v>46083.0</v>
      </c>
      <c r="B2135" s="33" t="s">
        <v>1110</v>
      </c>
      <c r="C2135" s="33" t="s">
        <v>711</v>
      </c>
      <c r="D2135" s="29">
        <v>4.0</v>
      </c>
      <c r="E2135" s="30">
        <v>2600.0</v>
      </c>
      <c r="F2135" s="25" t="s">
        <v>10</v>
      </c>
      <c r="G2135" s="38">
        <v>46083.0</v>
      </c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</row>
    <row r="2136" ht="14.25" customHeight="1">
      <c r="A2136" s="40">
        <v>46083.0</v>
      </c>
      <c r="B2136" s="33" t="s">
        <v>370</v>
      </c>
      <c r="C2136" s="33" t="s">
        <v>711</v>
      </c>
      <c r="D2136" s="29">
        <v>2.0</v>
      </c>
      <c r="E2136" s="30">
        <v>2000.0</v>
      </c>
      <c r="F2136" s="25" t="s">
        <v>10</v>
      </c>
      <c r="G2136" s="38">
        <v>46083.0</v>
      </c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</row>
    <row r="2137" ht="14.25" customHeight="1">
      <c r="A2137" s="40">
        <v>46084.0</v>
      </c>
      <c r="B2137" s="33" t="s">
        <v>773</v>
      </c>
      <c r="C2137" s="33" t="s">
        <v>138</v>
      </c>
      <c r="D2137" s="29">
        <v>2.0</v>
      </c>
      <c r="E2137" s="30">
        <v>1080.0</v>
      </c>
      <c r="F2137" s="25" t="s">
        <v>10</v>
      </c>
      <c r="G2137" s="38">
        <v>46084.0</v>
      </c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</row>
    <row r="2138" ht="14.25" customHeight="1">
      <c r="A2138" s="40">
        <v>46084.0</v>
      </c>
      <c r="B2138" s="33" t="s">
        <v>629</v>
      </c>
      <c r="C2138" s="33" t="s">
        <v>322</v>
      </c>
      <c r="D2138" s="29">
        <v>4.0</v>
      </c>
      <c r="E2138" s="30">
        <v>2080.0</v>
      </c>
      <c r="F2138" s="25" t="s">
        <v>122</v>
      </c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</row>
    <row r="2139" ht="14.25" customHeight="1">
      <c r="A2139" s="40">
        <v>46084.0</v>
      </c>
      <c r="B2139" s="33" t="s">
        <v>953</v>
      </c>
      <c r="C2139" s="33" t="s">
        <v>154</v>
      </c>
      <c r="D2139" s="29">
        <v>2.0</v>
      </c>
      <c r="E2139" s="30">
        <v>2200.0</v>
      </c>
      <c r="F2139" s="25" t="s">
        <v>10</v>
      </c>
      <c r="G2139" s="38">
        <v>46084.0</v>
      </c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</row>
    <row r="2140" ht="14.25" customHeight="1">
      <c r="A2140" s="40">
        <v>46084.0</v>
      </c>
      <c r="B2140" s="33" t="s">
        <v>300</v>
      </c>
      <c r="C2140" s="33" t="s">
        <v>133</v>
      </c>
      <c r="D2140" s="29">
        <v>4.0</v>
      </c>
      <c r="E2140" s="30">
        <v>2960.0</v>
      </c>
      <c r="F2140" s="25" t="s">
        <v>122</v>
      </c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</row>
    <row r="2141" ht="14.25" customHeight="1">
      <c r="A2141" s="40">
        <v>46084.0</v>
      </c>
      <c r="B2141" s="33" t="s">
        <v>1012</v>
      </c>
      <c r="C2141" s="33" t="s">
        <v>143</v>
      </c>
      <c r="D2141" s="29">
        <v>1.0</v>
      </c>
      <c r="E2141" s="30">
        <v>1800.0</v>
      </c>
      <c r="F2141" s="25" t="s">
        <v>10</v>
      </c>
      <c r="G2141" s="38">
        <v>46085.0</v>
      </c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</row>
    <row r="2142" ht="14.25" customHeight="1">
      <c r="A2142" s="40">
        <v>46084.0</v>
      </c>
      <c r="B2142" s="33" t="s">
        <v>1174</v>
      </c>
      <c r="C2142" s="33" t="s">
        <v>154</v>
      </c>
      <c r="D2142" s="29">
        <v>4.0</v>
      </c>
      <c r="E2142" s="30">
        <v>5256.0</v>
      </c>
      <c r="F2142" s="25" t="s">
        <v>122</v>
      </c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</row>
    <row r="2143" ht="14.25" customHeight="1">
      <c r="A2143" s="40">
        <v>46086.0</v>
      </c>
      <c r="B2143" s="33" t="s">
        <v>1175</v>
      </c>
      <c r="C2143" s="33" t="s">
        <v>711</v>
      </c>
      <c r="D2143" s="29">
        <v>1.0</v>
      </c>
      <c r="E2143" s="30">
        <v>1350.0</v>
      </c>
      <c r="F2143" s="25" t="s">
        <v>10</v>
      </c>
      <c r="G2143" s="38">
        <v>46086.0</v>
      </c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</row>
    <row r="2144" ht="14.25" customHeight="1">
      <c r="A2144" s="40">
        <v>46086.0</v>
      </c>
      <c r="B2144" s="33" t="s">
        <v>22</v>
      </c>
      <c r="C2144" s="33" t="s">
        <v>143</v>
      </c>
      <c r="D2144" s="29">
        <v>1.0</v>
      </c>
      <c r="E2144" s="30">
        <v>1300.0</v>
      </c>
      <c r="F2144" s="25" t="s">
        <v>10</v>
      </c>
      <c r="G2144" s="38">
        <v>46092.0</v>
      </c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</row>
    <row r="2145" ht="14.25" customHeight="1">
      <c r="A2145" s="40">
        <v>46087.0</v>
      </c>
      <c r="B2145" s="33" t="s">
        <v>1176</v>
      </c>
      <c r="C2145" s="33" t="s">
        <v>154</v>
      </c>
      <c r="D2145" s="29">
        <v>1.0</v>
      </c>
      <c r="E2145" s="30">
        <v>1051.0</v>
      </c>
      <c r="F2145" s="25" t="s">
        <v>10</v>
      </c>
      <c r="G2145" s="38">
        <v>46087.0</v>
      </c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</row>
    <row r="2146" ht="14.25" customHeight="1">
      <c r="A2146" s="40">
        <v>46087.0</v>
      </c>
      <c r="B2146" s="33" t="s">
        <v>1177</v>
      </c>
      <c r="C2146" s="33" t="s">
        <v>154</v>
      </c>
      <c r="D2146" s="29">
        <v>4.0</v>
      </c>
      <c r="E2146" s="30">
        <v>2071.0</v>
      </c>
      <c r="F2146" s="25" t="s">
        <v>10</v>
      </c>
      <c r="G2146" s="38">
        <v>46087.0</v>
      </c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</row>
    <row r="2147" ht="14.25" customHeight="1">
      <c r="A2147" s="40">
        <v>46087.0</v>
      </c>
      <c r="B2147" s="33" t="s">
        <v>1178</v>
      </c>
      <c r="C2147" s="33" t="s">
        <v>9</v>
      </c>
      <c r="D2147" s="29">
        <v>2.0</v>
      </c>
      <c r="E2147" s="30">
        <v>3000.0</v>
      </c>
      <c r="F2147" s="25" t="s">
        <v>10</v>
      </c>
      <c r="G2147" s="38">
        <v>46093.0</v>
      </c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</row>
    <row r="2148" ht="14.25" customHeight="1">
      <c r="A2148" s="40">
        <v>46087.0</v>
      </c>
      <c r="B2148" s="33" t="s">
        <v>1179</v>
      </c>
      <c r="C2148" s="33" t="s">
        <v>9</v>
      </c>
      <c r="D2148" s="29">
        <v>1.0</v>
      </c>
      <c r="E2148" s="30">
        <v>2400.0</v>
      </c>
      <c r="F2148" s="25" t="s">
        <v>10</v>
      </c>
      <c r="G2148" s="38">
        <v>46093.0</v>
      </c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</row>
    <row r="2149" ht="14.25" customHeight="1">
      <c r="A2149" s="40">
        <v>46088.0</v>
      </c>
      <c r="B2149" s="33" t="s">
        <v>1180</v>
      </c>
      <c r="C2149" s="33" t="s">
        <v>9</v>
      </c>
      <c r="D2149" s="29">
        <v>2.0</v>
      </c>
      <c r="E2149" s="30">
        <v>1900.0</v>
      </c>
      <c r="F2149" s="25" t="s">
        <v>10</v>
      </c>
      <c r="G2149" s="38">
        <v>46093.0</v>
      </c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</row>
    <row r="2150" ht="14.25" customHeight="1">
      <c r="A2150" s="40">
        <v>46088.0</v>
      </c>
      <c r="B2150" s="33" t="s">
        <v>856</v>
      </c>
      <c r="C2150" s="33" t="s">
        <v>143</v>
      </c>
      <c r="D2150" s="29">
        <v>4.0</v>
      </c>
      <c r="E2150" s="30">
        <v>5000.0</v>
      </c>
      <c r="F2150" s="25" t="s">
        <v>122</v>
      </c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</row>
    <row r="2151" ht="14.25" customHeight="1">
      <c r="A2151" s="40">
        <v>46090.0</v>
      </c>
      <c r="B2151" s="33" t="s">
        <v>297</v>
      </c>
      <c r="C2151" s="33" t="s">
        <v>133</v>
      </c>
      <c r="D2151" s="29">
        <v>4.0</v>
      </c>
      <c r="E2151" s="30">
        <v>2960.0</v>
      </c>
      <c r="F2151" s="25" t="s">
        <v>122</v>
      </c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</row>
    <row r="2152" ht="14.25" customHeight="1">
      <c r="A2152" s="40">
        <v>46091.0</v>
      </c>
      <c r="B2152" s="33" t="s">
        <v>489</v>
      </c>
      <c r="C2152" s="33" t="s">
        <v>9</v>
      </c>
      <c r="D2152" s="29">
        <v>1.0</v>
      </c>
      <c r="E2152" s="30">
        <v>2000.0</v>
      </c>
      <c r="F2152" s="25" t="s">
        <v>10</v>
      </c>
      <c r="G2152" s="38">
        <v>46099.0</v>
      </c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</row>
    <row r="2153" ht="14.25" customHeight="1">
      <c r="A2153" s="40">
        <v>46091.0</v>
      </c>
      <c r="B2153" s="33" t="s">
        <v>1181</v>
      </c>
      <c r="C2153" s="33" t="s">
        <v>143</v>
      </c>
      <c r="D2153" s="29">
        <v>1.0</v>
      </c>
      <c r="E2153" s="30">
        <v>1500.0</v>
      </c>
      <c r="F2153" s="25" t="s">
        <v>122</v>
      </c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</row>
    <row r="2154" ht="14.25" customHeight="1">
      <c r="A2154" s="40">
        <v>46092.0</v>
      </c>
      <c r="B2154" s="33" t="s">
        <v>43</v>
      </c>
      <c r="C2154" s="33" t="s">
        <v>133</v>
      </c>
      <c r="D2154" s="29">
        <v>4.0</v>
      </c>
      <c r="E2154" s="30">
        <v>3800.0</v>
      </c>
      <c r="F2154" s="25" t="s">
        <v>122</v>
      </c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</row>
    <row r="2155" ht="14.25" customHeight="1">
      <c r="A2155" s="40">
        <v>46092.0</v>
      </c>
      <c r="B2155" s="33" t="s">
        <v>813</v>
      </c>
      <c r="C2155" s="33" t="s">
        <v>143</v>
      </c>
      <c r="D2155" s="29">
        <v>2.0</v>
      </c>
      <c r="E2155" s="30">
        <v>2600.0</v>
      </c>
      <c r="F2155" s="25" t="s">
        <v>122</v>
      </c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</row>
    <row r="2156" ht="14.25" customHeight="1">
      <c r="A2156" s="40">
        <v>46092.0</v>
      </c>
      <c r="B2156" s="33" t="s">
        <v>1182</v>
      </c>
      <c r="C2156" s="33" t="s">
        <v>325</v>
      </c>
      <c r="D2156" s="29">
        <v>3.0</v>
      </c>
      <c r="E2156" s="30">
        <v>5850.0</v>
      </c>
      <c r="F2156" s="25" t="s">
        <v>122</v>
      </c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</row>
    <row r="2157" ht="14.25" customHeight="1">
      <c r="A2157" s="40">
        <v>46092.0</v>
      </c>
      <c r="B2157" s="33" t="s">
        <v>1183</v>
      </c>
      <c r="C2157" s="33" t="s">
        <v>143</v>
      </c>
      <c r="D2157" s="29">
        <v>4.0</v>
      </c>
      <c r="E2157" s="30">
        <v>4400.0</v>
      </c>
      <c r="F2157" s="25" t="s">
        <v>122</v>
      </c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</row>
    <row r="2158" ht="14.25" customHeight="1">
      <c r="A2158" s="40">
        <v>46092.0</v>
      </c>
      <c r="B2158" s="33" t="s">
        <v>1184</v>
      </c>
      <c r="C2158" s="33" t="s">
        <v>143</v>
      </c>
      <c r="D2158" s="29">
        <v>2.0</v>
      </c>
      <c r="E2158" s="30">
        <v>1260.0</v>
      </c>
      <c r="F2158" s="25" t="s">
        <v>122</v>
      </c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</row>
    <row r="2159" ht="14.25" customHeight="1">
      <c r="A2159" s="40">
        <v>46092.0</v>
      </c>
      <c r="B2159" s="33" t="s">
        <v>1185</v>
      </c>
      <c r="C2159" s="33" t="s">
        <v>143</v>
      </c>
      <c r="D2159" s="29">
        <v>4.0</v>
      </c>
      <c r="E2159" s="30">
        <v>6400.0</v>
      </c>
      <c r="F2159" s="25" t="s">
        <v>122</v>
      </c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</row>
    <row r="2160" ht="14.25" customHeight="1">
      <c r="A2160" s="40">
        <v>46092.0</v>
      </c>
      <c r="B2160" s="33" t="s">
        <v>330</v>
      </c>
      <c r="C2160" s="33" t="s">
        <v>1172</v>
      </c>
      <c r="D2160" s="29">
        <v>1.0</v>
      </c>
      <c r="E2160" s="30">
        <v>820.0</v>
      </c>
      <c r="F2160" s="25" t="s">
        <v>122</v>
      </c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</row>
    <row r="2161" ht="14.25" customHeight="1">
      <c r="A2161" s="40">
        <v>46093.0</v>
      </c>
      <c r="B2161" s="33" t="s">
        <v>1186</v>
      </c>
      <c r="C2161" s="33" t="s">
        <v>128</v>
      </c>
      <c r="D2161" s="29">
        <v>2.0</v>
      </c>
      <c r="E2161" s="30">
        <v>1887.0</v>
      </c>
      <c r="F2161" s="25" t="s">
        <v>10</v>
      </c>
      <c r="G2161" s="38">
        <v>46093.0</v>
      </c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</row>
    <row r="2162" ht="14.25" customHeight="1">
      <c r="A2162" s="40">
        <v>46093.0</v>
      </c>
      <c r="B2162" s="33" t="s">
        <v>797</v>
      </c>
      <c r="C2162" s="33" t="s">
        <v>711</v>
      </c>
      <c r="D2162" s="29">
        <v>2.0</v>
      </c>
      <c r="E2162" s="30">
        <v>2000.0</v>
      </c>
      <c r="F2162" s="25" t="s">
        <v>10</v>
      </c>
      <c r="G2162" s="38">
        <v>46093.0</v>
      </c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</row>
    <row r="2163" ht="14.25" customHeight="1">
      <c r="A2163" s="40">
        <v>46093.0</v>
      </c>
      <c r="B2163" s="33" t="s">
        <v>95</v>
      </c>
      <c r="C2163" s="33" t="s">
        <v>9</v>
      </c>
      <c r="D2163" s="29">
        <v>1.0</v>
      </c>
      <c r="E2163" s="30">
        <v>1700.0</v>
      </c>
      <c r="F2163" s="25" t="s">
        <v>10</v>
      </c>
      <c r="G2163" s="38">
        <v>46099.0</v>
      </c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</row>
    <row r="2164" ht="14.25" customHeight="1">
      <c r="A2164" s="40">
        <v>46093.0</v>
      </c>
      <c r="B2164" s="33" t="s">
        <v>370</v>
      </c>
      <c r="C2164" s="33" t="s">
        <v>711</v>
      </c>
      <c r="D2164" s="29">
        <v>1.0</v>
      </c>
      <c r="E2164" s="30">
        <v>1000.0</v>
      </c>
      <c r="F2164" s="25" t="s">
        <v>10</v>
      </c>
      <c r="G2164" s="38">
        <v>46093.0</v>
      </c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</row>
    <row r="2165" ht="14.25" customHeight="1">
      <c r="A2165" s="40">
        <v>46094.0</v>
      </c>
      <c r="B2165" s="33" t="s">
        <v>901</v>
      </c>
      <c r="C2165" s="33" t="s">
        <v>138</v>
      </c>
      <c r="D2165" s="29">
        <v>4.0</v>
      </c>
      <c r="E2165" s="30">
        <v>3340.0</v>
      </c>
      <c r="F2165" s="25" t="s">
        <v>10</v>
      </c>
      <c r="G2165" s="38">
        <v>46094.0</v>
      </c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</row>
    <row r="2166" ht="14.25" customHeight="1">
      <c r="A2166" s="40">
        <v>46094.0</v>
      </c>
      <c r="B2166" s="33" t="s">
        <v>1187</v>
      </c>
      <c r="C2166" s="33" t="s">
        <v>325</v>
      </c>
      <c r="D2166" s="29">
        <v>2.0</v>
      </c>
      <c r="E2166" s="30">
        <v>3800.0</v>
      </c>
      <c r="F2166" s="25" t="s">
        <v>122</v>
      </c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</row>
    <row r="2167" ht="14.25" customHeight="1">
      <c r="A2167" s="40">
        <v>46095.0</v>
      </c>
      <c r="B2167" s="33" t="s">
        <v>1188</v>
      </c>
      <c r="C2167" s="33" t="s">
        <v>83</v>
      </c>
      <c r="D2167" s="29">
        <v>2.0</v>
      </c>
      <c r="E2167" s="30">
        <v>5400.0</v>
      </c>
      <c r="F2167" s="25" t="s">
        <v>10</v>
      </c>
      <c r="G2167" s="38">
        <v>46095.0</v>
      </c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</row>
    <row r="2168" ht="14.25" customHeight="1">
      <c r="A2168" s="40">
        <v>46097.0</v>
      </c>
      <c r="B2168" s="33" t="s">
        <v>258</v>
      </c>
      <c r="C2168" s="33" t="s">
        <v>9</v>
      </c>
      <c r="D2168" s="29">
        <v>4.0</v>
      </c>
      <c r="E2168" s="30">
        <v>1840.0</v>
      </c>
      <c r="F2168" s="25" t="s">
        <v>10</v>
      </c>
      <c r="G2168" s="38">
        <v>46099.0</v>
      </c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</row>
    <row r="2169" ht="14.25" customHeight="1">
      <c r="A2169" s="40">
        <v>46097.0</v>
      </c>
      <c r="B2169" s="33" t="s">
        <v>1189</v>
      </c>
      <c r="C2169" s="33" t="s">
        <v>9</v>
      </c>
      <c r="D2169" s="29">
        <v>4.0</v>
      </c>
      <c r="E2169" s="30">
        <v>8200.0</v>
      </c>
      <c r="F2169" s="25" t="s">
        <v>10</v>
      </c>
      <c r="G2169" s="38">
        <v>46099.0</v>
      </c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</row>
    <row r="2170" ht="14.25" customHeight="1">
      <c r="A2170" s="40">
        <v>46097.0</v>
      </c>
      <c r="B2170" s="33" t="s">
        <v>744</v>
      </c>
      <c r="C2170" s="33" t="s">
        <v>9</v>
      </c>
      <c r="D2170" s="29">
        <v>4.0</v>
      </c>
      <c r="E2170" s="30">
        <v>2760.0</v>
      </c>
      <c r="F2170" s="25" t="s">
        <v>10</v>
      </c>
      <c r="G2170" s="38">
        <v>46099.0</v>
      </c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</row>
    <row r="2171" ht="14.25" customHeight="1">
      <c r="A2171" s="40">
        <v>46097.0</v>
      </c>
      <c r="B2171" s="33" t="s">
        <v>1190</v>
      </c>
      <c r="C2171" s="33" t="s">
        <v>143</v>
      </c>
      <c r="D2171" s="29">
        <v>1.0</v>
      </c>
      <c r="E2171" s="30">
        <v>1950.0</v>
      </c>
      <c r="F2171" s="25" t="s">
        <v>122</v>
      </c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</row>
    <row r="2172" ht="14.25" customHeight="1">
      <c r="A2172" s="40">
        <v>46097.0</v>
      </c>
      <c r="B2172" s="33" t="s">
        <v>957</v>
      </c>
      <c r="C2172" s="33" t="s">
        <v>126</v>
      </c>
      <c r="D2172" s="29">
        <v>4.0</v>
      </c>
      <c r="E2172" s="30">
        <v>6000.0</v>
      </c>
      <c r="F2172" s="25" t="s">
        <v>122</v>
      </c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</row>
    <row r="2173" ht="14.25" customHeight="1">
      <c r="A2173" s="40">
        <v>46097.0</v>
      </c>
      <c r="B2173" s="33" t="s">
        <v>343</v>
      </c>
      <c r="C2173" s="33" t="s">
        <v>9</v>
      </c>
      <c r="D2173" s="29">
        <v>4.0</v>
      </c>
      <c r="E2173" s="30">
        <v>4600.0</v>
      </c>
      <c r="F2173" s="25" t="s">
        <v>10</v>
      </c>
      <c r="G2173" s="38">
        <v>46099.0</v>
      </c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</row>
    <row r="2174" ht="14.25" customHeight="1">
      <c r="A2174" s="40">
        <v>46098.0</v>
      </c>
      <c r="B2174" s="33" t="s">
        <v>116</v>
      </c>
      <c r="C2174" s="33" t="s">
        <v>1172</v>
      </c>
      <c r="D2174" s="29">
        <v>2.0</v>
      </c>
      <c r="E2174" s="30">
        <v>2340.0</v>
      </c>
      <c r="F2174" s="25" t="s">
        <v>122</v>
      </c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</row>
    <row r="2175" ht="14.25" customHeight="1">
      <c r="A2175" s="40">
        <v>46098.0</v>
      </c>
      <c r="B2175" s="33" t="s">
        <v>1191</v>
      </c>
      <c r="C2175" s="33" t="s">
        <v>325</v>
      </c>
      <c r="D2175" s="29">
        <v>1.0</v>
      </c>
      <c r="E2175" s="30">
        <v>2900.0</v>
      </c>
      <c r="F2175" s="25" t="s">
        <v>122</v>
      </c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</row>
    <row r="2176" ht="14.25" customHeight="1">
      <c r="A2176" s="40">
        <v>46099.0</v>
      </c>
      <c r="B2176" s="33" t="s">
        <v>1159</v>
      </c>
      <c r="C2176" s="33" t="s">
        <v>138</v>
      </c>
      <c r="D2176" s="29">
        <v>1.0</v>
      </c>
      <c r="E2176" s="30">
        <v>1100.0</v>
      </c>
      <c r="F2176" s="25" t="s">
        <v>10</v>
      </c>
      <c r="G2176" s="38">
        <v>46099.0</v>
      </c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</row>
    <row r="2177" ht="14.25" customHeight="1">
      <c r="A2177" s="40">
        <v>46099.0</v>
      </c>
      <c r="B2177" s="33" t="s">
        <v>16</v>
      </c>
      <c r="C2177" s="33" t="s">
        <v>9</v>
      </c>
      <c r="D2177" s="29">
        <v>2.0</v>
      </c>
      <c r="E2177" s="30">
        <v>2200.0</v>
      </c>
      <c r="F2177" s="25" t="s">
        <v>122</v>
      </c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</row>
    <row r="2178" ht="14.25" customHeight="1">
      <c r="A2178" s="40">
        <v>46099.0</v>
      </c>
      <c r="B2178" s="33" t="s">
        <v>116</v>
      </c>
      <c r="C2178" s="33" t="s">
        <v>83</v>
      </c>
      <c r="D2178" s="29">
        <v>2.0</v>
      </c>
      <c r="E2178" s="30">
        <v>2500.0</v>
      </c>
      <c r="F2178" s="25" t="s">
        <v>10</v>
      </c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</row>
    <row r="2179" ht="14.25" customHeight="1">
      <c r="A2179" s="40">
        <v>46099.0</v>
      </c>
      <c r="B2179" s="33" t="s">
        <v>830</v>
      </c>
      <c r="C2179" s="33" t="s">
        <v>133</v>
      </c>
      <c r="D2179" s="29">
        <v>4.0</v>
      </c>
      <c r="E2179" s="30">
        <v>5200.0</v>
      </c>
      <c r="F2179" s="25" t="s">
        <v>10</v>
      </c>
      <c r="G2179" s="38">
        <v>46099.0</v>
      </c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</row>
    <row r="2180" ht="14.25" customHeight="1">
      <c r="A2180" s="40">
        <v>46100.0</v>
      </c>
      <c r="B2180" s="33" t="s">
        <v>145</v>
      </c>
      <c r="C2180" s="33" t="s">
        <v>143</v>
      </c>
      <c r="D2180" s="29">
        <v>2.0</v>
      </c>
      <c r="E2180" s="30">
        <v>2400.0</v>
      </c>
      <c r="F2180" s="25" t="s">
        <v>122</v>
      </c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</row>
    <row r="2181" ht="14.25" customHeight="1">
      <c r="A2181" s="40">
        <v>46100.0</v>
      </c>
      <c r="B2181" s="33" t="s">
        <v>1190</v>
      </c>
      <c r="C2181" s="33" t="s">
        <v>143</v>
      </c>
      <c r="D2181" s="29">
        <v>1.0</v>
      </c>
      <c r="E2181" s="30">
        <v>1950.0</v>
      </c>
      <c r="F2181" s="25" t="s">
        <v>122</v>
      </c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</row>
    <row r="2182" ht="14.25" customHeight="1">
      <c r="A2182" s="16"/>
      <c r="B2182" s="19"/>
      <c r="C2182" s="19"/>
      <c r="D2182" s="12"/>
      <c r="E2182" s="16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</row>
    <row r="2183" ht="14.25" customHeight="1">
      <c r="A2183" s="16"/>
      <c r="B2183" s="19"/>
      <c r="C2183" s="19"/>
      <c r="D2183" s="12"/>
      <c r="E2183" s="16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</row>
    <row r="2184" ht="14.25" customHeight="1">
      <c r="A2184" s="16"/>
      <c r="B2184" s="19"/>
      <c r="C2184" s="19"/>
      <c r="D2184" s="12"/>
      <c r="E2184" s="16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</row>
    <row r="2185" ht="14.25" customHeight="1">
      <c r="A2185" s="16"/>
      <c r="B2185" s="19"/>
      <c r="C2185" s="19"/>
      <c r="D2185" s="12"/>
      <c r="E2185" s="16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</row>
    <row r="2186" ht="14.25" customHeight="1">
      <c r="A2186" s="16"/>
      <c r="B2186" s="19"/>
      <c r="C2186" s="19"/>
      <c r="D2186" s="12"/>
      <c r="E2186" s="16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</row>
    <row r="2187" ht="14.25" customHeight="1">
      <c r="A2187" s="16"/>
      <c r="B2187" s="19"/>
      <c r="C2187" s="19"/>
      <c r="D2187" s="12"/>
      <c r="E2187" s="16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</row>
    <row r="2188">
      <c r="A2188" s="44"/>
      <c r="B2188" s="45"/>
      <c r="C2188" s="45"/>
      <c r="D2188" s="46"/>
      <c r="E2188" s="44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</row>
    <row r="2189">
      <c r="A2189" s="47"/>
      <c r="B2189" s="8"/>
      <c r="C2189" s="8"/>
      <c r="D2189" s="48"/>
      <c r="E2189" s="47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</row>
    <row r="2190">
      <c r="A2190" s="47"/>
      <c r="B2190" s="8"/>
      <c r="C2190" s="8"/>
      <c r="D2190" s="48"/>
      <c r="E2190" s="47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</row>
    <row r="2191">
      <c r="A2191" s="8"/>
      <c r="B2191" s="8"/>
      <c r="C2191" s="8"/>
      <c r="D2191" s="4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</row>
    <row r="2192">
      <c r="A2192" s="8"/>
      <c r="B2192" s="8"/>
      <c r="C2192" s="8"/>
      <c r="D2192" s="4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</row>
    <row r="2193">
      <c r="A2193" s="8"/>
      <c r="B2193" s="8"/>
      <c r="C2193" s="8"/>
      <c r="D2193" s="4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</row>
    <row r="2194">
      <c r="A2194" s="8"/>
      <c r="B2194" s="8"/>
      <c r="C2194" s="8"/>
      <c r="D2194" s="4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</row>
    <row r="2195">
      <c r="A2195" s="8"/>
      <c r="B2195" s="8"/>
      <c r="C2195" s="8"/>
      <c r="D2195" s="4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</row>
    <row r="2196">
      <c r="A2196" s="8"/>
      <c r="B2196" s="8"/>
      <c r="C2196" s="8"/>
      <c r="D2196" s="4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</row>
    <row r="2197">
      <c r="A2197" s="8"/>
      <c r="B2197" s="8"/>
      <c r="C2197" s="8"/>
      <c r="D2197" s="4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</row>
    <row r="2198">
      <c r="A2198" s="8"/>
      <c r="B2198" s="8"/>
      <c r="C2198" s="8"/>
      <c r="D2198" s="4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</row>
    <row r="2199">
      <c r="A2199" s="8"/>
      <c r="B2199" s="8"/>
      <c r="C2199" s="8"/>
      <c r="D2199" s="4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</row>
    <row r="2200">
      <c r="A2200" s="8"/>
      <c r="B2200" s="8"/>
      <c r="C2200" s="8"/>
      <c r="D2200" s="4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</row>
    <row r="2201">
      <c r="A2201" s="8"/>
      <c r="B2201" s="8"/>
      <c r="C2201" s="8"/>
      <c r="D2201" s="4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</row>
    <row r="2202">
      <c r="A2202" s="8"/>
      <c r="B2202" s="8"/>
      <c r="C2202" s="8"/>
      <c r="D2202" s="4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</row>
    <row r="2203">
      <c r="A2203" s="8"/>
      <c r="B2203" s="8"/>
      <c r="C2203" s="8"/>
      <c r="D2203" s="4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</row>
    <row r="2204">
      <c r="A2204" s="8"/>
      <c r="B2204" s="8"/>
      <c r="C2204" s="8"/>
      <c r="D2204" s="4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</row>
    <row r="2205">
      <c r="A2205" s="8"/>
      <c r="B2205" s="8"/>
      <c r="C2205" s="8"/>
      <c r="D2205" s="4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</row>
    <row r="2206">
      <c r="A2206" s="8"/>
      <c r="B2206" s="8"/>
      <c r="C2206" s="8"/>
      <c r="D2206" s="4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</row>
    <row r="2207">
      <c r="A2207" s="8"/>
      <c r="B2207" s="8"/>
      <c r="C2207" s="8"/>
      <c r="D2207" s="4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</row>
    <row r="2208">
      <c r="A2208" s="8"/>
      <c r="B2208" s="8"/>
      <c r="C2208" s="8"/>
      <c r="D2208" s="4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</row>
    <row r="2209">
      <c r="A2209" s="8"/>
      <c r="B2209" s="8"/>
      <c r="C2209" s="8"/>
      <c r="D2209" s="4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</row>
    <row r="2210">
      <c r="A2210" s="8"/>
      <c r="B2210" s="8"/>
      <c r="C2210" s="8"/>
      <c r="D2210" s="4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</row>
    <row r="2211">
      <c r="A2211" s="8"/>
      <c r="B2211" s="8"/>
      <c r="C2211" s="8"/>
      <c r="D2211" s="4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</row>
    <row r="2212">
      <c r="A2212" s="8"/>
      <c r="B2212" s="8"/>
      <c r="C2212" s="8"/>
      <c r="D2212" s="4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</row>
    <row r="2213">
      <c r="A2213" s="8"/>
      <c r="B2213" s="8"/>
      <c r="C2213" s="8"/>
      <c r="D2213" s="4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</row>
    <row r="2214">
      <c r="A2214" s="8"/>
      <c r="B2214" s="8"/>
      <c r="C2214" s="8"/>
      <c r="D2214" s="4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</row>
    <row r="2215">
      <c r="A2215" s="8"/>
      <c r="B2215" s="8"/>
      <c r="C2215" s="8"/>
      <c r="D2215" s="4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</row>
    <row r="2216">
      <c r="A2216" s="8"/>
      <c r="B2216" s="8"/>
      <c r="C2216" s="8"/>
      <c r="D2216" s="4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</row>
    <row r="2217">
      <c r="A2217" s="8"/>
      <c r="B2217" s="8"/>
      <c r="C2217" s="8"/>
      <c r="D2217" s="4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</row>
    <row r="2218">
      <c r="A2218" s="8"/>
      <c r="B2218" s="8"/>
      <c r="C2218" s="8"/>
      <c r="D2218" s="4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</row>
    <row r="2219">
      <c r="A2219" s="8"/>
      <c r="B2219" s="8"/>
      <c r="C2219" s="8"/>
      <c r="D2219" s="4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</row>
    <row r="2220">
      <c r="A2220" s="8"/>
      <c r="B2220" s="8"/>
      <c r="C2220" s="8"/>
      <c r="D2220" s="4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</row>
    <row r="2221">
      <c r="A2221" s="8"/>
      <c r="B2221" s="8"/>
      <c r="C2221" s="8"/>
      <c r="D2221" s="4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</row>
    <row r="2222">
      <c r="A2222" s="8"/>
      <c r="B2222" s="8"/>
      <c r="C2222" s="8"/>
      <c r="D2222" s="4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</row>
    <row r="2223">
      <c r="A2223" s="8"/>
      <c r="B2223" s="8"/>
      <c r="C2223" s="8"/>
      <c r="D2223" s="4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</row>
    <row r="2224">
      <c r="A2224" s="8"/>
      <c r="B2224" s="8"/>
      <c r="C2224" s="8"/>
      <c r="D2224" s="4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</row>
    <row r="2225">
      <c r="A2225" s="8"/>
      <c r="B2225" s="8"/>
      <c r="C2225" s="8"/>
      <c r="D2225" s="4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</row>
    <row r="2226">
      <c r="A2226" s="8"/>
      <c r="B2226" s="8"/>
      <c r="C2226" s="8"/>
      <c r="D2226" s="4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</row>
    <row r="2227">
      <c r="A2227" s="8"/>
      <c r="B2227" s="8"/>
      <c r="C2227" s="8"/>
      <c r="D2227" s="4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</row>
    <row r="2228">
      <c r="A2228" s="8"/>
      <c r="B2228" s="8"/>
      <c r="C2228" s="8"/>
      <c r="D2228" s="4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</row>
    <row r="2229">
      <c r="A2229" s="8"/>
      <c r="B2229" s="8"/>
      <c r="C2229" s="8"/>
      <c r="D2229" s="4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</row>
    <row r="2230">
      <c r="A2230" s="8"/>
      <c r="B2230" s="8"/>
      <c r="C2230" s="8"/>
      <c r="D2230" s="4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</row>
    <row r="2231">
      <c r="A2231" s="8"/>
      <c r="B2231" s="8"/>
      <c r="C2231" s="8"/>
      <c r="D2231" s="4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</row>
    <row r="2232">
      <c r="A2232" s="8"/>
      <c r="B2232" s="8"/>
      <c r="C2232" s="8"/>
      <c r="D2232" s="4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</row>
    <row r="2233">
      <c r="A2233" s="8"/>
      <c r="B2233" s="8"/>
      <c r="C2233" s="8"/>
      <c r="D2233" s="4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</row>
    <row r="2234">
      <c r="A2234" s="8"/>
      <c r="B2234" s="8"/>
      <c r="C2234" s="8"/>
      <c r="D2234" s="4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</row>
    <row r="2235">
      <c r="A2235" s="8"/>
      <c r="B2235" s="8"/>
      <c r="C2235" s="8"/>
      <c r="D2235" s="4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</row>
    <row r="2236">
      <c r="A2236" s="8"/>
      <c r="B2236" s="8"/>
      <c r="C2236" s="8"/>
      <c r="D2236" s="4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</row>
    <row r="2237">
      <c r="A2237" s="8"/>
      <c r="B2237" s="8"/>
      <c r="C2237" s="8"/>
      <c r="D2237" s="4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</row>
    <row r="2238">
      <c r="A2238" s="8"/>
      <c r="B2238" s="8"/>
      <c r="C2238" s="8"/>
      <c r="D2238" s="4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</row>
    <row r="2239">
      <c r="A2239" s="8"/>
      <c r="B2239" s="8"/>
      <c r="C2239" s="8"/>
      <c r="D2239" s="4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</row>
    <row r="2240">
      <c r="A2240" s="8"/>
      <c r="B2240" s="8"/>
      <c r="C2240" s="8"/>
      <c r="D2240" s="4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</row>
    <row r="2241">
      <c r="A2241" s="8"/>
      <c r="B2241" s="8"/>
      <c r="C2241" s="8"/>
      <c r="D2241" s="4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</row>
    <row r="2242">
      <c r="A2242" s="8"/>
      <c r="B2242" s="8"/>
      <c r="C2242" s="8"/>
      <c r="D2242" s="4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</row>
    <row r="2243">
      <c r="A2243" s="8"/>
      <c r="B2243" s="8"/>
      <c r="C2243" s="8"/>
      <c r="D2243" s="4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</row>
    <row r="2244">
      <c r="A2244" s="8"/>
      <c r="B2244" s="8"/>
      <c r="C2244" s="8"/>
      <c r="D2244" s="4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</row>
    <row r="2245">
      <c r="A2245" s="8"/>
      <c r="B2245" s="8"/>
      <c r="C2245" s="8"/>
      <c r="D2245" s="4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</row>
    <row r="2246">
      <c r="A2246" s="8"/>
      <c r="B2246" s="8"/>
      <c r="C2246" s="8"/>
      <c r="D2246" s="4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</row>
    <row r="2247">
      <c r="A2247" s="8"/>
      <c r="B2247" s="8"/>
      <c r="C2247" s="8"/>
      <c r="D2247" s="4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</row>
    <row r="2248">
      <c r="A2248" s="8"/>
      <c r="B2248" s="8"/>
      <c r="C2248" s="8"/>
      <c r="D2248" s="4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</row>
    <row r="2249">
      <c r="A2249" s="8"/>
      <c r="B2249" s="8"/>
      <c r="C2249" s="8"/>
      <c r="D2249" s="4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</row>
    <row r="2250">
      <c r="A2250" s="8"/>
      <c r="B2250" s="8"/>
      <c r="C2250" s="8"/>
      <c r="D2250" s="4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</row>
    <row r="2251">
      <c r="A2251" s="8"/>
      <c r="B2251" s="8"/>
      <c r="C2251" s="8"/>
      <c r="D2251" s="4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</row>
    <row r="2252">
      <c r="A2252" s="8"/>
      <c r="B2252" s="8"/>
      <c r="C2252" s="8"/>
      <c r="D2252" s="4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</row>
    <row r="2253">
      <c r="A2253" s="8"/>
      <c r="B2253" s="8"/>
      <c r="C2253" s="8"/>
      <c r="D2253" s="4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</row>
    <row r="2254">
      <c r="A2254" s="8"/>
      <c r="B2254" s="8"/>
      <c r="C2254" s="8"/>
      <c r="D2254" s="4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</row>
    <row r="2255">
      <c r="A2255" s="8"/>
      <c r="B2255" s="8"/>
      <c r="C2255" s="8"/>
      <c r="D2255" s="4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</row>
    <row r="2256">
      <c r="A2256" s="8"/>
      <c r="B2256" s="8"/>
      <c r="C2256" s="8"/>
      <c r="D2256" s="4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</row>
    <row r="2257">
      <c r="A2257" s="8"/>
      <c r="B2257" s="8"/>
      <c r="C2257" s="8"/>
      <c r="D2257" s="4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</row>
    <row r="2258">
      <c r="A2258" s="8"/>
      <c r="B2258" s="8"/>
      <c r="C2258" s="8"/>
      <c r="D2258" s="4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</row>
    <row r="2259">
      <c r="A2259" s="8"/>
      <c r="B2259" s="8"/>
      <c r="C2259" s="8"/>
      <c r="D2259" s="4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</row>
    <row r="2260">
      <c r="A2260" s="8"/>
      <c r="B2260" s="8"/>
      <c r="C2260" s="8"/>
      <c r="D2260" s="4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</row>
    <row r="2261">
      <c r="A2261" s="8"/>
      <c r="B2261" s="8"/>
      <c r="C2261" s="8"/>
      <c r="D2261" s="4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</row>
    <row r="2262">
      <c r="A2262" s="8"/>
      <c r="B2262" s="8"/>
      <c r="C2262" s="8"/>
      <c r="D2262" s="4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</row>
    <row r="2263">
      <c r="A2263" s="8"/>
      <c r="B2263" s="8"/>
      <c r="C2263" s="8"/>
      <c r="D2263" s="4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</row>
    <row r="2264">
      <c r="A2264" s="8"/>
      <c r="B2264" s="8"/>
      <c r="C2264" s="8"/>
      <c r="D2264" s="4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</row>
    <row r="2265">
      <c r="A2265" s="8"/>
      <c r="B2265" s="8"/>
      <c r="C2265" s="8"/>
      <c r="D2265" s="4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</row>
    <row r="2266">
      <c r="A2266" s="8"/>
      <c r="B2266" s="8"/>
      <c r="C2266" s="8"/>
      <c r="D2266" s="4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</row>
    <row r="2267">
      <c r="A2267" s="47"/>
      <c r="B2267" s="8"/>
      <c r="C2267" s="8"/>
      <c r="D2267" s="48"/>
      <c r="E2267" s="47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</row>
    <row r="2268">
      <c r="A2268" s="47"/>
      <c r="B2268" s="8"/>
      <c r="C2268" s="8"/>
      <c r="D2268" s="48"/>
      <c r="E2268" s="47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</row>
    <row r="2269">
      <c r="A2269" s="47"/>
      <c r="B2269" s="8"/>
      <c r="C2269" s="8"/>
      <c r="D2269" s="48"/>
      <c r="E2269" s="47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</row>
    <row r="2270">
      <c r="A2270" s="47"/>
      <c r="B2270" s="8"/>
      <c r="C2270" s="8"/>
      <c r="D2270" s="48"/>
      <c r="E2270" s="47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</row>
    <row r="2271">
      <c r="A2271" s="47"/>
      <c r="B2271" s="8"/>
      <c r="C2271" s="8"/>
      <c r="D2271" s="48"/>
      <c r="E2271" s="47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</row>
    <row r="2272">
      <c r="A2272" s="47"/>
      <c r="B2272" s="8"/>
      <c r="C2272" s="8"/>
      <c r="D2272" s="48"/>
      <c r="E2272" s="47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</row>
    <row r="2273">
      <c r="A2273" s="47"/>
      <c r="B2273" s="8"/>
      <c r="C2273" s="8"/>
      <c r="D2273" s="48"/>
      <c r="E2273" s="47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</row>
    <row r="2274">
      <c r="A2274" s="47"/>
      <c r="B2274" s="8"/>
      <c r="C2274" s="8"/>
      <c r="D2274" s="48"/>
      <c r="E2274" s="47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</row>
    <row r="2275">
      <c r="A2275" s="47"/>
      <c r="B2275" s="8"/>
      <c r="C2275" s="8"/>
      <c r="D2275" s="48"/>
      <c r="E2275" s="47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</row>
    <row r="2276">
      <c r="A2276" s="47"/>
      <c r="B2276" s="8"/>
      <c r="C2276" s="8"/>
      <c r="D2276" s="48"/>
      <c r="E2276" s="47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</row>
    <row r="2277">
      <c r="A2277" s="47"/>
      <c r="B2277" s="8"/>
      <c r="C2277" s="8"/>
      <c r="D2277" s="48"/>
      <c r="E2277" s="47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</row>
    <row r="2278">
      <c r="A2278" s="47"/>
      <c r="B2278" s="8"/>
      <c r="C2278" s="8"/>
      <c r="D2278" s="48"/>
      <c r="E2278" s="47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</row>
    <row r="2279">
      <c r="A2279" s="47"/>
      <c r="B2279" s="8"/>
      <c r="C2279" s="8"/>
      <c r="D2279" s="48"/>
      <c r="E2279" s="47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</row>
    <row r="2280">
      <c r="A2280" s="47"/>
      <c r="B2280" s="8"/>
      <c r="C2280" s="8"/>
      <c r="D2280" s="48"/>
      <c r="E2280" s="47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</row>
    <row r="2281">
      <c r="A2281" s="47"/>
      <c r="B2281" s="8"/>
      <c r="C2281" s="8"/>
      <c r="D2281" s="48"/>
      <c r="E2281" s="47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</row>
    <row r="2282">
      <c r="A2282" s="47"/>
      <c r="B2282" s="8"/>
      <c r="C2282" s="8"/>
      <c r="D2282" s="48"/>
      <c r="E2282" s="47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</row>
    <row r="2283">
      <c r="A2283" s="47"/>
      <c r="B2283" s="8"/>
      <c r="C2283" s="8"/>
      <c r="D2283" s="48"/>
      <c r="E2283" s="47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</row>
    <row r="2284">
      <c r="A2284" s="47"/>
      <c r="B2284" s="8"/>
      <c r="C2284" s="8"/>
      <c r="D2284" s="48"/>
      <c r="E2284" s="47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</row>
    <row r="2285">
      <c r="A2285" s="47"/>
      <c r="B2285" s="8"/>
      <c r="C2285" s="8"/>
      <c r="D2285" s="48"/>
      <c r="E2285" s="47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</row>
    <row r="2286">
      <c r="A2286" s="47"/>
      <c r="B2286" s="8"/>
      <c r="C2286" s="8"/>
      <c r="D2286" s="48"/>
      <c r="E2286" s="47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</row>
    <row r="2287">
      <c r="A2287" s="47"/>
      <c r="B2287" s="8"/>
      <c r="C2287" s="8"/>
      <c r="D2287" s="48"/>
      <c r="E2287" s="47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</row>
    <row r="2288">
      <c r="A2288" s="47"/>
      <c r="B2288" s="8"/>
      <c r="C2288" s="8"/>
      <c r="D2288" s="48"/>
      <c r="E2288" s="47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</row>
    <row r="2289">
      <c r="A2289" s="47"/>
      <c r="B2289" s="8"/>
      <c r="C2289" s="8"/>
      <c r="D2289" s="48"/>
      <c r="E2289" s="47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</row>
    <row r="2290">
      <c r="A2290" s="47"/>
      <c r="B2290" s="8"/>
      <c r="C2290" s="8"/>
      <c r="D2290" s="48"/>
      <c r="E2290" s="47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</row>
    <row r="2291">
      <c r="A2291" s="47"/>
      <c r="B2291" s="8"/>
      <c r="C2291" s="8"/>
      <c r="D2291" s="48"/>
      <c r="E2291" s="47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</row>
    <row r="2292">
      <c r="A2292" s="47"/>
      <c r="B2292" s="8"/>
      <c r="C2292" s="8"/>
      <c r="D2292" s="48"/>
      <c r="E2292" s="47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</row>
    <row r="2293">
      <c r="A2293" s="47"/>
      <c r="B2293" s="8"/>
      <c r="C2293" s="8"/>
      <c r="D2293" s="48"/>
      <c r="E2293" s="47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</row>
    <row r="2294">
      <c r="A2294" s="47"/>
      <c r="B2294" s="8"/>
      <c r="C2294" s="8"/>
      <c r="D2294" s="48"/>
      <c r="E2294" s="47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</row>
    <row r="2295">
      <c r="A2295" s="47"/>
      <c r="B2295" s="8"/>
      <c r="C2295" s="8"/>
      <c r="D2295" s="48"/>
      <c r="E2295" s="47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</row>
    <row r="2296">
      <c r="A2296" s="47"/>
      <c r="B2296" s="8"/>
      <c r="C2296" s="8"/>
      <c r="D2296" s="48"/>
      <c r="E2296" s="47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</row>
    <row r="2297">
      <c r="A2297" s="47"/>
      <c r="B2297" s="8"/>
      <c r="C2297" s="8"/>
      <c r="D2297" s="48"/>
      <c r="E2297" s="47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</row>
    <row r="2298">
      <c r="A2298" s="47"/>
      <c r="B2298" s="8"/>
      <c r="C2298" s="8"/>
      <c r="D2298" s="48"/>
      <c r="E2298" s="47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</row>
    <row r="2299">
      <c r="A2299" s="47"/>
      <c r="B2299" s="8"/>
      <c r="C2299" s="8"/>
      <c r="D2299" s="48"/>
      <c r="E2299" s="47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</row>
    <row r="2300">
      <c r="A2300" s="47"/>
      <c r="B2300" s="8"/>
      <c r="C2300" s="8"/>
      <c r="D2300" s="48"/>
      <c r="E2300" s="47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</row>
    <row r="2301">
      <c r="A2301" s="47"/>
      <c r="B2301" s="8"/>
      <c r="C2301" s="8"/>
      <c r="D2301" s="48"/>
      <c r="E2301" s="47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</row>
    <row r="2302">
      <c r="A2302" s="47"/>
      <c r="B2302" s="8"/>
      <c r="C2302" s="8"/>
      <c r="D2302" s="48"/>
      <c r="E2302" s="47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</row>
    <row r="2303">
      <c r="A2303" s="47"/>
      <c r="B2303" s="8"/>
      <c r="C2303" s="8"/>
      <c r="D2303" s="48"/>
      <c r="E2303" s="47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</row>
    <row r="2304">
      <c r="A2304" s="47"/>
      <c r="B2304" s="8"/>
      <c r="C2304" s="8"/>
      <c r="D2304" s="48"/>
      <c r="E2304" s="47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</row>
    <row r="2305">
      <c r="A2305" s="47"/>
      <c r="B2305" s="8"/>
      <c r="C2305" s="8"/>
      <c r="D2305" s="48"/>
      <c r="E2305" s="47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</row>
    <row r="2306">
      <c r="A2306" s="47"/>
      <c r="B2306" s="8"/>
      <c r="C2306" s="8"/>
      <c r="D2306" s="48"/>
      <c r="E2306" s="47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</row>
    <row r="2307">
      <c r="A2307" s="47"/>
      <c r="B2307" s="8"/>
      <c r="C2307" s="8"/>
      <c r="D2307" s="48"/>
      <c r="E2307" s="47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</row>
    <row r="2308">
      <c r="A2308" s="47"/>
      <c r="B2308" s="8"/>
      <c r="C2308" s="8"/>
      <c r="D2308" s="48"/>
      <c r="E2308" s="47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</row>
    <row r="2309">
      <c r="A2309" s="47"/>
      <c r="B2309" s="8"/>
      <c r="C2309" s="8"/>
      <c r="D2309" s="48"/>
      <c r="E2309" s="47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</row>
    <row r="2310">
      <c r="A2310" s="47"/>
      <c r="B2310" s="8"/>
      <c r="C2310" s="8"/>
      <c r="D2310" s="48"/>
      <c r="E2310" s="47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</row>
    <row r="2311">
      <c r="A2311" s="47"/>
      <c r="B2311" s="8"/>
      <c r="C2311" s="8"/>
      <c r="D2311" s="48"/>
      <c r="E2311" s="47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</row>
    <row r="2312">
      <c r="A2312" s="47"/>
      <c r="B2312" s="8"/>
      <c r="C2312" s="8"/>
      <c r="D2312" s="48"/>
      <c r="E2312" s="47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</row>
    <row r="2313">
      <c r="A2313" s="47"/>
      <c r="B2313" s="8"/>
      <c r="C2313" s="8"/>
      <c r="D2313" s="48"/>
      <c r="E2313" s="47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</row>
    <row r="2314">
      <c r="A2314" s="47"/>
      <c r="B2314" s="8"/>
      <c r="C2314" s="8"/>
      <c r="D2314" s="48"/>
      <c r="E2314" s="47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</row>
    <row r="2315">
      <c r="A2315" s="47"/>
      <c r="B2315" s="8"/>
      <c r="C2315" s="8"/>
      <c r="D2315" s="48"/>
      <c r="E2315" s="47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</row>
    <row r="2316">
      <c r="A2316" s="47"/>
      <c r="B2316" s="8"/>
      <c r="C2316" s="8"/>
      <c r="D2316" s="48"/>
      <c r="E2316" s="47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</row>
    <row r="2317">
      <c r="A2317" s="47"/>
      <c r="B2317" s="8"/>
      <c r="C2317" s="8"/>
      <c r="D2317" s="48"/>
      <c r="E2317" s="47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</row>
    <row r="2318">
      <c r="A2318" s="47"/>
      <c r="B2318" s="8"/>
      <c r="C2318" s="8"/>
      <c r="D2318" s="48"/>
      <c r="E2318" s="47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</row>
    <row r="2319">
      <c r="A2319" s="47"/>
      <c r="B2319" s="8"/>
      <c r="C2319" s="8"/>
      <c r="D2319" s="48"/>
      <c r="E2319" s="47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</row>
    <row r="2320">
      <c r="A2320" s="47"/>
      <c r="B2320" s="8"/>
      <c r="C2320" s="8"/>
      <c r="D2320" s="48"/>
      <c r="E2320" s="47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</row>
    <row r="2321">
      <c r="A2321" s="47"/>
      <c r="B2321" s="8"/>
      <c r="C2321" s="8"/>
      <c r="D2321" s="48"/>
      <c r="E2321" s="47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</row>
    <row r="2322">
      <c r="A2322" s="47"/>
      <c r="B2322" s="8"/>
      <c r="C2322" s="8"/>
      <c r="D2322" s="48"/>
      <c r="E2322" s="47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</row>
    <row r="2323">
      <c r="A2323" s="47"/>
      <c r="B2323" s="8"/>
      <c r="C2323" s="8"/>
      <c r="D2323" s="48"/>
      <c r="E2323" s="47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</row>
    <row r="2324">
      <c r="A2324" s="47"/>
      <c r="B2324" s="8"/>
      <c r="C2324" s="8"/>
      <c r="D2324" s="48"/>
      <c r="E2324" s="47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</row>
    <row r="2325">
      <c r="A2325" s="47"/>
      <c r="B2325" s="8"/>
      <c r="C2325" s="8"/>
      <c r="D2325" s="48"/>
      <c r="E2325" s="47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</row>
    <row r="2326">
      <c r="A2326" s="47"/>
      <c r="B2326" s="8"/>
      <c r="C2326" s="8"/>
      <c r="D2326" s="48"/>
      <c r="E2326" s="47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</row>
    <row r="2327">
      <c r="A2327" s="47"/>
      <c r="B2327" s="8"/>
      <c r="C2327" s="8"/>
      <c r="D2327" s="48"/>
      <c r="E2327" s="47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</row>
    <row r="2328">
      <c r="A2328" s="47"/>
      <c r="B2328" s="8"/>
      <c r="C2328" s="8"/>
      <c r="D2328" s="48"/>
      <c r="E2328" s="47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</row>
    <row r="2329">
      <c r="A2329" s="47"/>
      <c r="B2329" s="8"/>
      <c r="C2329" s="8"/>
      <c r="D2329" s="48"/>
      <c r="E2329" s="47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</row>
    <row r="2330">
      <c r="A2330" s="47"/>
      <c r="B2330" s="8"/>
      <c r="C2330" s="8"/>
      <c r="D2330" s="48"/>
      <c r="E2330" s="47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</row>
    <row r="2331">
      <c r="A2331" s="47"/>
      <c r="B2331" s="8"/>
      <c r="C2331" s="8"/>
      <c r="D2331" s="48"/>
      <c r="E2331" s="47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</row>
    <row r="2332">
      <c r="A2332" s="47"/>
      <c r="B2332" s="8"/>
      <c r="C2332" s="8"/>
      <c r="D2332" s="48"/>
      <c r="E2332" s="47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</row>
    <row r="2333">
      <c r="A2333" s="47"/>
      <c r="B2333" s="8"/>
      <c r="C2333" s="8"/>
      <c r="D2333" s="48"/>
      <c r="E2333" s="47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</row>
    <row r="2334">
      <c r="A2334" s="47"/>
      <c r="B2334" s="8"/>
      <c r="C2334" s="8"/>
      <c r="D2334" s="48"/>
      <c r="E2334" s="47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</row>
    <row r="2335">
      <c r="A2335" s="47"/>
      <c r="B2335" s="8"/>
      <c r="C2335" s="8"/>
      <c r="D2335" s="48"/>
      <c r="E2335" s="47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</row>
    <row r="2336">
      <c r="A2336" s="47"/>
      <c r="B2336" s="8"/>
      <c r="C2336" s="8"/>
      <c r="D2336" s="48"/>
      <c r="E2336" s="47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</row>
    <row r="2337">
      <c r="A2337" s="47"/>
      <c r="B2337" s="8"/>
      <c r="C2337" s="8"/>
      <c r="D2337" s="48"/>
      <c r="E2337" s="47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</row>
    <row r="2338">
      <c r="A2338" s="47"/>
      <c r="B2338" s="8"/>
      <c r="C2338" s="8"/>
      <c r="D2338" s="48"/>
      <c r="E2338" s="47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</row>
    <row r="2339">
      <c r="A2339" s="47"/>
      <c r="B2339" s="8"/>
      <c r="C2339" s="8"/>
      <c r="D2339" s="48"/>
      <c r="E2339" s="47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</row>
    <row r="2340">
      <c r="A2340" s="47"/>
      <c r="B2340" s="8"/>
      <c r="C2340" s="8"/>
      <c r="D2340" s="48"/>
      <c r="E2340" s="47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</row>
    <row r="2341">
      <c r="A2341" s="47"/>
      <c r="B2341" s="8"/>
      <c r="C2341" s="8"/>
      <c r="D2341" s="48"/>
      <c r="E2341" s="47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</row>
    <row r="2342">
      <c r="A2342" s="47"/>
      <c r="B2342" s="8"/>
      <c r="C2342" s="8"/>
      <c r="D2342" s="48"/>
      <c r="E2342" s="47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</row>
    <row r="2343">
      <c r="A2343" s="47"/>
      <c r="B2343" s="8"/>
      <c r="C2343" s="8"/>
      <c r="D2343" s="48"/>
      <c r="E2343" s="47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</row>
    <row r="2344">
      <c r="A2344" s="47"/>
      <c r="B2344" s="8"/>
      <c r="C2344" s="8"/>
      <c r="D2344" s="48"/>
      <c r="E2344" s="47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</row>
    <row r="2345">
      <c r="A2345" s="47"/>
      <c r="B2345" s="8"/>
      <c r="C2345" s="8"/>
      <c r="D2345" s="48"/>
      <c r="E2345" s="47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</row>
    <row r="2346">
      <c r="A2346" s="47"/>
      <c r="B2346" s="8"/>
      <c r="C2346" s="8"/>
      <c r="D2346" s="48"/>
      <c r="E2346" s="47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</row>
    <row r="2347">
      <c r="A2347" s="47"/>
      <c r="B2347" s="8"/>
      <c r="C2347" s="8"/>
      <c r="D2347" s="48"/>
      <c r="E2347" s="47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</row>
    <row r="2348">
      <c r="A2348" s="47"/>
      <c r="B2348" s="8"/>
      <c r="C2348" s="8"/>
      <c r="D2348" s="48"/>
      <c r="E2348" s="47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</row>
    <row r="2349">
      <c r="A2349" s="47"/>
      <c r="B2349" s="8"/>
      <c r="C2349" s="8"/>
      <c r="D2349" s="48"/>
      <c r="E2349" s="47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</row>
    <row r="2350">
      <c r="A2350" s="47"/>
      <c r="B2350" s="8"/>
      <c r="C2350" s="8"/>
      <c r="D2350" s="48"/>
      <c r="E2350" s="47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</row>
    <row r="2351">
      <c r="A2351" s="47"/>
      <c r="B2351" s="8"/>
      <c r="C2351" s="8"/>
      <c r="D2351" s="48"/>
      <c r="E2351" s="47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</row>
    <row r="2352">
      <c r="A2352" s="47"/>
      <c r="B2352" s="8"/>
      <c r="C2352" s="8"/>
      <c r="D2352" s="48"/>
      <c r="E2352" s="47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</row>
    <row r="2353">
      <c r="A2353" s="47"/>
      <c r="B2353" s="8"/>
      <c r="C2353" s="8"/>
      <c r="D2353" s="48"/>
      <c r="E2353" s="47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</row>
    <row r="2354">
      <c r="A2354" s="47"/>
      <c r="B2354" s="8"/>
      <c r="C2354" s="8"/>
      <c r="D2354" s="48"/>
      <c r="E2354" s="47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</row>
    <row r="2355">
      <c r="A2355" s="47"/>
      <c r="B2355" s="8"/>
      <c r="C2355" s="8"/>
      <c r="D2355" s="48"/>
      <c r="E2355" s="47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</row>
    <row r="2356">
      <c r="A2356" s="47"/>
      <c r="B2356" s="8"/>
      <c r="C2356" s="8"/>
      <c r="D2356" s="48"/>
      <c r="E2356" s="47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</row>
    <row r="2357">
      <c r="A2357" s="47"/>
      <c r="B2357" s="8"/>
      <c r="C2357" s="8"/>
      <c r="D2357" s="48"/>
      <c r="E2357" s="47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</row>
    <row r="2358">
      <c r="A2358" s="47"/>
      <c r="B2358" s="8"/>
      <c r="C2358" s="8"/>
      <c r="D2358" s="48"/>
      <c r="E2358" s="47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</row>
    <row r="2359">
      <c r="A2359" s="47"/>
      <c r="B2359" s="8"/>
      <c r="C2359" s="8"/>
      <c r="D2359" s="48"/>
      <c r="E2359" s="47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</row>
    <row r="2360">
      <c r="A2360" s="47"/>
      <c r="B2360" s="8"/>
      <c r="C2360" s="8"/>
      <c r="D2360" s="48"/>
      <c r="E2360" s="47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</row>
    <row r="2361">
      <c r="A2361" s="47"/>
      <c r="B2361" s="8"/>
      <c r="C2361" s="8"/>
      <c r="D2361" s="48"/>
      <c r="E2361" s="47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</row>
    <row r="2362">
      <c r="A2362" s="47"/>
      <c r="B2362" s="8"/>
      <c r="C2362" s="8"/>
      <c r="D2362" s="48"/>
      <c r="E2362" s="47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</row>
    <row r="2363">
      <c r="A2363" s="47"/>
      <c r="B2363" s="8"/>
      <c r="C2363" s="8"/>
      <c r="D2363" s="48"/>
      <c r="E2363" s="47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</row>
    <row r="2364">
      <c r="A2364" s="47"/>
      <c r="B2364" s="8"/>
      <c r="C2364" s="8"/>
      <c r="D2364" s="48"/>
      <c r="E2364" s="47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</row>
    <row r="2365">
      <c r="A2365" s="47"/>
      <c r="B2365" s="8"/>
      <c r="C2365" s="8"/>
      <c r="D2365" s="48"/>
      <c r="E2365" s="47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</row>
    <row r="2366">
      <c r="A2366" s="47"/>
      <c r="B2366" s="8"/>
      <c r="C2366" s="8"/>
      <c r="D2366" s="48"/>
      <c r="E2366" s="47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</row>
    <row r="2367">
      <c r="A2367" s="47"/>
      <c r="B2367" s="8"/>
      <c r="C2367" s="8"/>
      <c r="D2367" s="48"/>
      <c r="E2367" s="47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</row>
    <row r="2368">
      <c r="A2368" s="47"/>
      <c r="B2368" s="8"/>
      <c r="C2368" s="8"/>
      <c r="D2368" s="48"/>
      <c r="E2368" s="47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</row>
    <row r="2369">
      <c r="A2369" s="47"/>
      <c r="B2369" s="8"/>
      <c r="C2369" s="8"/>
      <c r="D2369" s="48"/>
      <c r="E2369" s="47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</row>
    <row r="2370">
      <c r="A2370" s="47"/>
      <c r="B2370" s="8"/>
      <c r="C2370" s="8"/>
      <c r="D2370" s="48"/>
      <c r="E2370" s="47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</row>
    <row r="2371">
      <c r="A2371" s="47"/>
      <c r="B2371" s="8"/>
      <c r="C2371" s="8"/>
      <c r="D2371" s="48"/>
      <c r="E2371" s="47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</row>
    <row r="2372">
      <c r="A2372" s="47"/>
      <c r="B2372" s="8"/>
      <c r="C2372" s="8"/>
      <c r="D2372" s="48"/>
      <c r="E2372" s="47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</row>
    <row r="2373">
      <c r="A2373" s="47"/>
      <c r="B2373" s="8"/>
      <c r="C2373" s="8"/>
      <c r="D2373" s="48"/>
      <c r="E2373" s="47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</row>
    <row r="2374">
      <c r="A2374" s="47"/>
      <c r="B2374" s="8"/>
      <c r="C2374" s="8"/>
      <c r="D2374" s="48"/>
      <c r="E2374" s="47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</row>
    <row r="2375">
      <c r="A2375" s="47"/>
      <c r="B2375" s="8"/>
      <c r="C2375" s="8"/>
      <c r="D2375" s="48"/>
      <c r="E2375" s="47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</row>
    <row r="2376">
      <c r="A2376" s="47"/>
      <c r="B2376" s="8"/>
      <c r="C2376" s="8"/>
      <c r="D2376" s="48"/>
      <c r="E2376" s="47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</row>
    <row r="2377">
      <c r="A2377" s="47"/>
      <c r="B2377" s="8"/>
      <c r="C2377" s="8"/>
      <c r="D2377" s="48"/>
      <c r="E2377" s="47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</row>
    <row r="2378">
      <c r="A2378" s="47"/>
      <c r="B2378" s="8"/>
      <c r="C2378" s="8"/>
      <c r="D2378" s="48"/>
      <c r="E2378" s="47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</row>
    <row r="2379">
      <c r="A2379" s="47"/>
      <c r="B2379" s="8"/>
      <c r="C2379" s="8"/>
      <c r="D2379" s="48"/>
      <c r="E2379" s="47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</row>
    <row r="2380">
      <c r="A2380" s="47"/>
      <c r="B2380" s="8"/>
      <c r="C2380" s="8"/>
      <c r="D2380" s="48"/>
      <c r="E2380" s="47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</row>
    <row r="2381">
      <c r="A2381" s="47"/>
      <c r="B2381" s="8"/>
      <c r="C2381" s="8"/>
      <c r="D2381" s="48"/>
      <c r="E2381" s="47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</row>
    <row r="2382">
      <c r="A2382" s="47"/>
      <c r="B2382" s="8"/>
      <c r="C2382" s="8"/>
      <c r="D2382" s="48"/>
      <c r="E2382" s="47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</row>
    <row r="2383">
      <c r="A2383" s="47"/>
      <c r="B2383" s="8"/>
      <c r="C2383" s="8"/>
      <c r="D2383" s="48"/>
      <c r="E2383" s="47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</row>
    <row r="2384">
      <c r="A2384" s="47"/>
      <c r="B2384" s="8"/>
      <c r="C2384" s="8"/>
      <c r="D2384" s="48"/>
      <c r="E2384" s="47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</row>
    <row r="2385">
      <c r="A2385" s="47"/>
      <c r="B2385" s="8"/>
      <c r="C2385" s="8"/>
      <c r="D2385" s="48"/>
      <c r="E2385" s="47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</row>
    <row r="2386">
      <c r="A2386" s="47"/>
      <c r="B2386" s="8"/>
      <c r="C2386" s="8"/>
      <c r="D2386" s="48"/>
      <c r="E2386" s="47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</row>
    <row r="2387">
      <c r="A2387" s="47"/>
      <c r="B2387" s="8"/>
      <c r="C2387" s="8"/>
      <c r="D2387" s="48"/>
      <c r="E2387" s="47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</row>
    <row r="2388">
      <c r="A2388" s="47"/>
      <c r="B2388" s="8"/>
      <c r="C2388" s="8"/>
      <c r="D2388" s="48"/>
      <c r="E2388" s="47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</row>
    <row r="2389">
      <c r="A2389" s="47"/>
      <c r="B2389" s="8"/>
      <c r="C2389" s="8"/>
      <c r="D2389" s="48"/>
      <c r="E2389" s="47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</row>
    <row r="2390">
      <c r="A2390" s="47"/>
      <c r="B2390" s="8"/>
      <c r="C2390" s="8"/>
      <c r="D2390" s="48"/>
      <c r="E2390" s="47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</row>
    <row r="2391">
      <c r="A2391" s="47"/>
      <c r="B2391" s="8"/>
      <c r="C2391" s="8"/>
      <c r="D2391" s="48"/>
      <c r="E2391" s="47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</row>
    <row r="2392">
      <c r="A2392" s="47"/>
      <c r="B2392" s="8"/>
      <c r="C2392" s="8"/>
      <c r="D2392" s="48"/>
      <c r="E2392" s="47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</row>
    <row r="2393">
      <c r="A2393" s="47"/>
      <c r="B2393" s="8"/>
      <c r="C2393" s="8"/>
      <c r="D2393" s="48"/>
      <c r="E2393" s="47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</row>
    <row r="2394">
      <c r="A2394" s="47"/>
      <c r="B2394" s="8"/>
      <c r="C2394" s="8"/>
      <c r="D2394" s="48"/>
      <c r="E2394" s="47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</row>
    <row r="2395">
      <c r="A2395" s="47"/>
      <c r="B2395" s="8"/>
      <c r="C2395" s="8"/>
      <c r="D2395" s="48"/>
      <c r="E2395" s="47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</row>
    <row r="2396">
      <c r="A2396" s="47"/>
      <c r="B2396" s="8"/>
      <c r="C2396" s="8"/>
      <c r="D2396" s="48"/>
      <c r="E2396" s="47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</row>
    <row r="2397">
      <c r="A2397" s="47"/>
      <c r="B2397" s="8"/>
      <c r="C2397" s="8"/>
      <c r="D2397" s="48"/>
      <c r="E2397" s="47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</row>
    <row r="2398">
      <c r="A2398" s="47"/>
      <c r="B2398" s="8"/>
      <c r="C2398" s="8"/>
      <c r="D2398" s="48"/>
      <c r="E2398" s="47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</row>
    <row r="2399">
      <c r="A2399" s="47"/>
      <c r="B2399" s="8"/>
      <c r="C2399" s="8"/>
      <c r="D2399" s="48"/>
      <c r="E2399" s="47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</row>
    <row r="2400">
      <c r="A2400" s="47"/>
      <c r="B2400" s="8"/>
      <c r="C2400" s="8"/>
      <c r="D2400" s="48"/>
      <c r="E2400" s="47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</row>
    <row r="2401">
      <c r="A2401" s="47"/>
      <c r="B2401" s="8"/>
      <c r="C2401" s="8"/>
      <c r="D2401" s="48"/>
      <c r="E2401" s="47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</row>
    <row r="2402">
      <c r="A2402" s="47"/>
      <c r="B2402" s="8"/>
      <c r="C2402" s="8"/>
      <c r="D2402" s="48"/>
      <c r="E2402" s="47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</row>
    <row r="2403">
      <c r="A2403" s="47"/>
      <c r="B2403" s="8"/>
      <c r="C2403" s="8"/>
      <c r="D2403" s="48"/>
      <c r="E2403" s="47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</row>
    <row r="2404">
      <c r="A2404" s="47"/>
      <c r="B2404" s="8"/>
      <c r="C2404" s="8"/>
      <c r="D2404" s="48"/>
      <c r="E2404" s="47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</row>
    <row r="2405">
      <c r="A2405" s="47"/>
      <c r="B2405" s="8"/>
      <c r="C2405" s="8"/>
      <c r="D2405" s="48"/>
      <c r="E2405" s="47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</row>
    <row r="2406">
      <c r="A2406" s="47"/>
      <c r="B2406" s="8"/>
      <c r="C2406" s="8"/>
      <c r="D2406" s="48"/>
      <c r="E2406" s="47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</row>
    <row r="2407">
      <c r="A2407" s="47"/>
      <c r="B2407" s="8"/>
      <c r="C2407" s="8"/>
      <c r="D2407" s="48"/>
      <c r="E2407" s="47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</row>
    <row r="2408">
      <c r="A2408" s="47"/>
      <c r="B2408" s="8"/>
      <c r="C2408" s="8"/>
      <c r="D2408" s="48"/>
      <c r="E2408" s="47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</row>
    <row r="2409">
      <c r="A2409" s="47"/>
      <c r="B2409" s="8"/>
      <c r="C2409" s="8"/>
      <c r="D2409" s="48"/>
      <c r="E2409" s="47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</row>
    <row r="2410">
      <c r="A2410" s="47"/>
      <c r="B2410" s="8"/>
      <c r="C2410" s="8"/>
      <c r="D2410" s="48"/>
      <c r="E2410" s="47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</row>
    <row r="2411">
      <c r="A2411" s="47"/>
      <c r="B2411" s="8"/>
      <c r="C2411" s="8"/>
      <c r="D2411" s="48"/>
      <c r="E2411" s="47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</row>
    <row r="2412">
      <c r="A2412" s="47"/>
      <c r="B2412" s="8"/>
      <c r="C2412" s="8"/>
      <c r="D2412" s="48"/>
      <c r="E2412" s="47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</row>
    <row r="2413">
      <c r="A2413" s="47"/>
      <c r="B2413" s="8"/>
      <c r="C2413" s="8"/>
      <c r="D2413" s="48"/>
      <c r="E2413" s="47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</row>
    <row r="2414">
      <c r="A2414" s="47"/>
      <c r="B2414" s="8"/>
      <c r="C2414" s="8"/>
      <c r="D2414" s="48"/>
      <c r="E2414" s="47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</row>
    <row r="2415">
      <c r="A2415" s="47"/>
      <c r="B2415" s="8"/>
      <c r="C2415" s="8"/>
      <c r="D2415" s="48"/>
      <c r="E2415" s="47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</row>
    <row r="2416">
      <c r="A2416" s="47"/>
      <c r="B2416" s="8"/>
      <c r="C2416" s="8"/>
      <c r="D2416" s="48"/>
      <c r="E2416" s="47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</row>
    <row r="2417">
      <c r="A2417" s="47"/>
      <c r="B2417" s="8"/>
      <c r="C2417" s="8"/>
      <c r="D2417" s="48"/>
      <c r="E2417" s="47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</row>
    <row r="2418">
      <c r="A2418" s="47"/>
      <c r="B2418" s="8"/>
      <c r="C2418" s="8"/>
      <c r="D2418" s="48"/>
      <c r="E2418" s="47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</row>
    <row r="2419">
      <c r="A2419" s="47"/>
      <c r="B2419" s="8"/>
      <c r="C2419" s="8"/>
      <c r="D2419" s="48"/>
      <c r="E2419" s="47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</row>
    <row r="2420">
      <c r="A2420" s="47"/>
      <c r="B2420" s="8"/>
      <c r="C2420" s="8"/>
      <c r="D2420" s="48"/>
      <c r="E2420" s="47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</row>
    <row r="2421">
      <c r="A2421" s="47"/>
      <c r="B2421" s="8"/>
      <c r="C2421" s="8"/>
      <c r="D2421" s="48"/>
      <c r="E2421" s="47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</row>
    <row r="2422">
      <c r="A2422" s="47"/>
      <c r="B2422" s="8"/>
      <c r="C2422" s="8"/>
      <c r="D2422" s="48"/>
      <c r="E2422" s="47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</row>
    <row r="2423">
      <c r="A2423" s="47"/>
      <c r="B2423" s="8"/>
      <c r="C2423" s="8"/>
      <c r="D2423" s="48"/>
      <c r="E2423" s="47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</row>
    <row r="2424">
      <c r="A2424" s="47"/>
      <c r="B2424" s="8"/>
      <c r="C2424" s="8"/>
      <c r="D2424" s="48"/>
      <c r="E2424" s="47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</row>
    <row r="2425">
      <c r="A2425" s="47"/>
      <c r="B2425" s="8"/>
      <c r="C2425" s="8"/>
      <c r="D2425" s="48"/>
      <c r="E2425" s="47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</row>
    <row r="2426">
      <c r="A2426" s="47"/>
      <c r="B2426" s="8"/>
      <c r="C2426" s="8"/>
      <c r="D2426" s="48"/>
      <c r="E2426" s="47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</row>
    <row r="2427">
      <c r="A2427" s="47"/>
      <c r="B2427" s="8"/>
      <c r="C2427" s="8"/>
      <c r="D2427" s="48"/>
      <c r="E2427" s="47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</row>
    <row r="2428">
      <c r="A2428" s="47"/>
      <c r="B2428" s="8"/>
      <c r="C2428" s="8"/>
      <c r="D2428" s="48"/>
      <c r="E2428" s="47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</row>
    <row r="2429">
      <c r="A2429" s="47"/>
      <c r="B2429" s="8"/>
      <c r="C2429" s="8"/>
      <c r="D2429" s="48"/>
      <c r="E2429" s="47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</row>
    <row r="2430">
      <c r="A2430" s="47"/>
      <c r="B2430" s="8"/>
      <c r="C2430" s="8"/>
      <c r="D2430" s="48"/>
      <c r="E2430" s="47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</row>
    <row r="2431">
      <c r="A2431" s="47"/>
      <c r="B2431" s="8"/>
      <c r="C2431" s="8"/>
      <c r="D2431" s="48"/>
      <c r="E2431" s="47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</row>
    <row r="2432">
      <c r="A2432" s="47"/>
      <c r="B2432" s="8"/>
      <c r="C2432" s="8"/>
      <c r="D2432" s="48"/>
      <c r="E2432" s="47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</row>
    <row r="2433">
      <c r="A2433" s="47"/>
      <c r="B2433" s="8"/>
      <c r="C2433" s="8"/>
      <c r="D2433" s="48"/>
      <c r="E2433" s="47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</row>
    <row r="2434">
      <c r="A2434" s="47"/>
      <c r="B2434" s="8"/>
      <c r="C2434" s="8"/>
      <c r="D2434" s="48"/>
      <c r="E2434" s="47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</row>
    <row r="2435">
      <c r="A2435" s="47"/>
      <c r="B2435" s="8"/>
      <c r="C2435" s="8"/>
      <c r="D2435" s="48"/>
      <c r="E2435" s="47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</row>
    <row r="2436">
      <c r="A2436" s="47"/>
      <c r="B2436" s="8"/>
      <c r="C2436" s="8"/>
      <c r="D2436" s="48"/>
      <c r="E2436" s="47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</row>
    <row r="2437">
      <c r="A2437" s="47"/>
      <c r="B2437" s="8"/>
      <c r="C2437" s="8"/>
      <c r="D2437" s="48"/>
      <c r="E2437" s="47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</row>
    <row r="2438">
      <c r="A2438" s="47"/>
      <c r="B2438" s="8"/>
      <c r="C2438" s="8"/>
      <c r="D2438" s="48"/>
      <c r="E2438" s="47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</row>
    <row r="2439">
      <c r="A2439" s="47"/>
      <c r="B2439" s="8"/>
      <c r="C2439" s="8"/>
      <c r="D2439" s="48"/>
      <c r="E2439" s="47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</row>
    <row r="2440">
      <c r="A2440" s="47"/>
      <c r="B2440" s="8"/>
      <c r="C2440" s="8"/>
      <c r="D2440" s="48"/>
      <c r="E2440" s="47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</row>
    <row r="2441">
      <c r="A2441" s="47"/>
      <c r="B2441" s="8"/>
      <c r="C2441" s="8"/>
      <c r="D2441" s="48"/>
      <c r="E2441" s="47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</row>
    <row r="2442">
      <c r="A2442" s="47"/>
      <c r="B2442" s="8"/>
      <c r="C2442" s="8"/>
      <c r="D2442" s="48"/>
      <c r="E2442" s="47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</row>
    <row r="2443">
      <c r="A2443" s="47"/>
      <c r="B2443" s="8"/>
      <c r="C2443" s="8"/>
      <c r="D2443" s="48"/>
      <c r="E2443" s="47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</row>
    <row r="2444">
      <c r="A2444" s="47"/>
      <c r="B2444" s="8"/>
      <c r="C2444" s="8"/>
      <c r="D2444" s="48"/>
      <c r="E2444" s="47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</row>
    <row r="2445">
      <c r="A2445" s="47"/>
      <c r="B2445" s="8"/>
      <c r="C2445" s="8"/>
      <c r="D2445" s="48"/>
      <c r="E2445" s="47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</row>
    <row r="2446">
      <c r="A2446" s="47"/>
      <c r="B2446" s="8"/>
      <c r="C2446" s="8"/>
      <c r="D2446" s="48"/>
      <c r="E2446" s="47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</row>
    <row r="2447">
      <c r="A2447" s="47"/>
      <c r="B2447" s="8"/>
      <c r="C2447" s="8"/>
      <c r="D2447" s="48"/>
      <c r="E2447" s="47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</row>
    <row r="2448">
      <c r="A2448" s="47"/>
      <c r="B2448" s="8"/>
      <c r="C2448" s="8"/>
      <c r="D2448" s="48"/>
      <c r="E2448" s="47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</row>
    <row r="2449">
      <c r="A2449" s="47"/>
      <c r="B2449" s="8"/>
      <c r="C2449" s="8"/>
      <c r="D2449" s="48"/>
      <c r="E2449" s="47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</row>
    <row r="2450">
      <c r="A2450" s="47"/>
      <c r="B2450" s="8"/>
      <c r="C2450" s="8"/>
      <c r="D2450" s="48"/>
      <c r="E2450" s="47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</row>
    <row r="2451">
      <c r="A2451" s="47"/>
      <c r="B2451" s="8"/>
      <c r="C2451" s="8"/>
      <c r="D2451" s="48"/>
      <c r="E2451" s="47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</row>
    <row r="2452">
      <c r="A2452" s="47"/>
      <c r="B2452" s="8"/>
      <c r="C2452" s="8"/>
      <c r="D2452" s="48"/>
      <c r="E2452" s="47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</row>
    <row r="2453">
      <c r="A2453" s="47"/>
      <c r="B2453" s="8"/>
      <c r="C2453" s="8"/>
      <c r="D2453" s="48"/>
      <c r="E2453" s="47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</row>
    <row r="2454">
      <c r="A2454" s="47"/>
      <c r="B2454" s="8"/>
      <c r="C2454" s="8"/>
      <c r="D2454" s="48"/>
      <c r="E2454" s="47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</row>
    <row r="2455">
      <c r="A2455" s="47"/>
      <c r="B2455" s="8"/>
      <c r="C2455" s="8"/>
      <c r="D2455" s="48"/>
      <c r="E2455" s="47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</row>
    <row r="2456">
      <c r="A2456" s="47"/>
      <c r="B2456" s="8"/>
      <c r="C2456" s="8"/>
      <c r="D2456" s="48"/>
      <c r="E2456" s="47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</row>
    <row r="2457">
      <c r="A2457" s="47"/>
      <c r="B2457" s="8"/>
      <c r="C2457" s="8"/>
      <c r="D2457" s="48"/>
      <c r="E2457" s="47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</row>
    <row r="2458">
      <c r="A2458" s="47"/>
      <c r="B2458" s="8"/>
      <c r="C2458" s="8"/>
      <c r="D2458" s="48"/>
      <c r="E2458" s="47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</row>
    <row r="2459">
      <c r="A2459" s="47"/>
      <c r="B2459" s="8"/>
      <c r="C2459" s="8"/>
      <c r="D2459" s="48"/>
      <c r="E2459" s="47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</row>
    <row r="2460">
      <c r="A2460" s="47"/>
      <c r="B2460" s="8"/>
      <c r="C2460" s="8"/>
      <c r="D2460" s="48"/>
      <c r="E2460" s="47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</row>
    <row r="2461">
      <c r="A2461" s="47"/>
      <c r="B2461" s="8"/>
      <c r="C2461" s="8"/>
      <c r="D2461" s="48"/>
      <c r="E2461" s="47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</row>
    <row r="2462">
      <c r="A2462" s="47"/>
      <c r="B2462" s="8"/>
      <c r="C2462" s="8"/>
      <c r="D2462" s="48"/>
      <c r="E2462" s="47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</row>
    <row r="2463">
      <c r="A2463" s="47"/>
      <c r="B2463" s="8"/>
      <c r="C2463" s="8"/>
      <c r="D2463" s="48"/>
      <c r="E2463" s="47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</row>
    <row r="2464">
      <c r="A2464" s="47"/>
      <c r="B2464" s="8"/>
      <c r="C2464" s="8"/>
      <c r="D2464" s="48"/>
      <c r="E2464" s="47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</row>
    <row r="2465">
      <c r="A2465" s="47"/>
      <c r="B2465" s="8"/>
      <c r="C2465" s="8"/>
      <c r="D2465" s="48"/>
      <c r="E2465" s="47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</row>
    <row r="2466">
      <c r="A2466" s="47"/>
      <c r="B2466" s="8"/>
      <c r="C2466" s="8"/>
      <c r="D2466" s="48"/>
      <c r="E2466" s="47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</row>
    <row r="2467">
      <c r="A2467" s="47"/>
      <c r="B2467" s="8"/>
      <c r="C2467" s="8"/>
      <c r="D2467" s="48"/>
      <c r="E2467" s="47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</row>
    <row r="2468">
      <c r="A2468" s="47"/>
      <c r="B2468" s="8"/>
      <c r="C2468" s="8"/>
      <c r="D2468" s="48"/>
      <c r="E2468" s="47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</row>
    <row r="2469">
      <c r="A2469" s="47"/>
      <c r="B2469" s="8"/>
      <c r="C2469" s="8"/>
      <c r="D2469" s="48"/>
      <c r="E2469" s="47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</row>
    <row r="2470">
      <c r="A2470" s="47"/>
      <c r="B2470" s="8"/>
      <c r="C2470" s="8"/>
      <c r="D2470" s="48"/>
      <c r="E2470" s="47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</row>
    <row r="2471">
      <c r="A2471" s="47"/>
      <c r="B2471" s="8"/>
      <c r="C2471" s="8"/>
      <c r="D2471" s="48"/>
      <c r="E2471" s="47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</row>
    <row r="2472">
      <c r="A2472" s="47"/>
      <c r="B2472" s="8"/>
      <c r="C2472" s="8"/>
      <c r="D2472" s="48"/>
      <c r="E2472" s="47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</row>
    <row r="2473">
      <c r="A2473" s="47"/>
      <c r="B2473" s="8"/>
      <c r="C2473" s="8"/>
      <c r="D2473" s="48"/>
      <c r="E2473" s="47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</row>
    <row r="2474">
      <c r="A2474" s="47"/>
      <c r="B2474" s="8"/>
      <c r="C2474" s="8"/>
      <c r="D2474" s="48"/>
      <c r="E2474" s="47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</row>
    <row r="2475">
      <c r="A2475" s="47"/>
      <c r="B2475" s="8"/>
      <c r="C2475" s="8"/>
      <c r="D2475" s="48"/>
      <c r="E2475" s="47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</row>
    <row r="2476">
      <c r="A2476" s="47"/>
      <c r="B2476" s="8"/>
      <c r="C2476" s="8"/>
      <c r="D2476" s="48"/>
      <c r="E2476" s="47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</row>
    <row r="2477">
      <c r="A2477" s="47"/>
      <c r="B2477" s="8"/>
      <c r="C2477" s="8"/>
      <c r="D2477" s="48"/>
      <c r="E2477" s="47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</row>
    <row r="2478">
      <c r="A2478" s="47"/>
      <c r="B2478" s="8"/>
      <c r="C2478" s="8"/>
      <c r="D2478" s="48"/>
      <c r="E2478" s="47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</row>
    <row r="2479">
      <c r="A2479" s="47"/>
      <c r="B2479" s="8"/>
      <c r="C2479" s="8"/>
      <c r="D2479" s="48"/>
      <c r="E2479" s="47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</row>
    <row r="2480">
      <c r="A2480" s="47"/>
      <c r="B2480" s="8"/>
      <c r="C2480" s="8"/>
      <c r="D2480" s="48"/>
      <c r="E2480" s="47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</row>
    <row r="2481">
      <c r="A2481" s="47"/>
      <c r="B2481" s="8"/>
      <c r="C2481" s="8"/>
      <c r="D2481" s="48"/>
      <c r="E2481" s="47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</row>
    <row r="2482">
      <c r="A2482" s="47"/>
      <c r="B2482" s="8"/>
      <c r="C2482" s="8"/>
      <c r="D2482" s="48"/>
      <c r="E2482" s="47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</row>
    <row r="2483">
      <c r="A2483" s="47"/>
      <c r="B2483" s="8"/>
      <c r="C2483" s="8"/>
      <c r="D2483" s="48"/>
      <c r="E2483" s="47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</row>
    <row r="2484">
      <c r="A2484" s="47"/>
      <c r="B2484" s="8"/>
      <c r="C2484" s="8"/>
      <c r="D2484" s="48"/>
      <c r="E2484" s="47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</row>
    <row r="2485">
      <c r="A2485" s="47"/>
      <c r="B2485" s="8"/>
      <c r="C2485" s="8"/>
      <c r="D2485" s="48"/>
      <c r="E2485" s="47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</row>
    <row r="2486">
      <c r="A2486" s="47"/>
      <c r="B2486" s="8"/>
      <c r="C2486" s="8"/>
      <c r="D2486" s="48"/>
      <c r="E2486" s="47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</row>
    <row r="2487">
      <c r="A2487" s="47"/>
      <c r="B2487" s="8"/>
      <c r="C2487" s="8"/>
      <c r="D2487" s="48"/>
      <c r="E2487" s="47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</row>
    <row r="2488">
      <c r="A2488" s="47"/>
      <c r="B2488" s="8"/>
      <c r="C2488" s="8"/>
      <c r="D2488" s="48"/>
      <c r="E2488" s="47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</row>
    <row r="2489">
      <c r="A2489" s="47"/>
      <c r="B2489" s="8"/>
      <c r="C2489" s="8"/>
      <c r="D2489" s="48"/>
      <c r="E2489" s="47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</row>
    <row r="2490">
      <c r="A2490" s="47"/>
      <c r="B2490" s="8"/>
      <c r="C2490" s="8"/>
      <c r="D2490" s="48"/>
      <c r="E2490" s="47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</row>
    <row r="2491">
      <c r="A2491" s="47"/>
      <c r="B2491" s="8"/>
      <c r="C2491" s="8"/>
      <c r="D2491" s="48"/>
      <c r="E2491" s="47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</row>
    <row r="2492">
      <c r="A2492" s="47"/>
      <c r="B2492" s="8"/>
      <c r="C2492" s="8"/>
      <c r="D2492" s="48"/>
      <c r="E2492" s="47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</row>
    <row r="2493">
      <c r="A2493" s="47"/>
      <c r="B2493" s="8"/>
      <c r="C2493" s="8"/>
      <c r="D2493" s="48"/>
      <c r="E2493" s="47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</row>
    <row r="2494">
      <c r="A2494" s="47"/>
      <c r="B2494" s="8"/>
      <c r="C2494" s="8"/>
      <c r="D2494" s="48"/>
      <c r="E2494" s="47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</row>
    <row r="2495">
      <c r="A2495" s="47"/>
      <c r="B2495" s="8"/>
      <c r="C2495" s="8"/>
      <c r="D2495" s="48"/>
      <c r="E2495" s="47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</row>
    <row r="2496">
      <c r="A2496" s="47"/>
      <c r="B2496" s="8"/>
      <c r="C2496" s="8"/>
      <c r="D2496" s="48"/>
      <c r="E2496" s="47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</row>
    <row r="2497">
      <c r="A2497" s="47"/>
      <c r="B2497" s="8"/>
      <c r="C2497" s="8"/>
      <c r="D2497" s="48"/>
      <c r="E2497" s="47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</row>
    <row r="2498">
      <c r="A2498" s="47"/>
      <c r="B2498" s="8"/>
      <c r="C2498" s="8"/>
      <c r="D2498" s="48"/>
      <c r="E2498" s="47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</row>
    <row r="2499">
      <c r="A2499" s="47"/>
      <c r="B2499" s="8"/>
      <c r="C2499" s="8"/>
      <c r="D2499" s="48"/>
      <c r="E2499" s="47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</row>
    <row r="2500">
      <c r="A2500" s="47"/>
      <c r="B2500" s="8"/>
      <c r="C2500" s="8"/>
      <c r="D2500" s="48"/>
      <c r="E2500" s="47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</row>
    <row r="2501">
      <c r="A2501" s="47"/>
      <c r="B2501" s="8"/>
      <c r="C2501" s="8"/>
      <c r="D2501" s="48"/>
      <c r="E2501" s="47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</row>
    <row r="2502">
      <c r="A2502" s="47"/>
      <c r="B2502" s="8"/>
      <c r="C2502" s="8"/>
      <c r="D2502" s="48"/>
      <c r="E2502" s="47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</row>
    <row r="2503">
      <c r="A2503" s="47"/>
      <c r="B2503" s="8"/>
      <c r="C2503" s="8"/>
      <c r="D2503" s="48"/>
      <c r="E2503" s="47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</row>
    <row r="2504">
      <c r="A2504" s="47"/>
      <c r="B2504" s="8"/>
      <c r="C2504" s="8"/>
      <c r="D2504" s="48"/>
      <c r="E2504" s="47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</row>
    <row r="2505">
      <c r="A2505" s="47"/>
      <c r="B2505" s="8"/>
      <c r="C2505" s="8"/>
      <c r="D2505" s="48"/>
      <c r="E2505" s="47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</row>
    <row r="2506">
      <c r="A2506" s="47"/>
      <c r="B2506" s="8"/>
      <c r="C2506" s="8"/>
      <c r="D2506" s="48"/>
      <c r="E2506" s="47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</row>
    <row r="2507">
      <c r="A2507" s="47"/>
      <c r="B2507" s="8"/>
      <c r="C2507" s="8"/>
      <c r="D2507" s="48"/>
      <c r="E2507" s="47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</row>
    <row r="2508">
      <c r="A2508" s="47"/>
      <c r="B2508" s="8"/>
      <c r="C2508" s="8"/>
      <c r="D2508" s="48"/>
      <c r="E2508" s="47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</row>
    <row r="2509">
      <c r="A2509" s="47"/>
      <c r="B2509" s="8"/>
      <c r="C2509" s="8"/>
      <c r="D2509" s="48"/>
      <c r="E2509" s="47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</row>
    <row r="2510">
      <c r="A2510" s="47"/>
      <c r="B2510" s="8"/>
      <c r="C2510" s="8"/>
      <c r="D2510" s="48"/>
      <c r="E2510" s="47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</row>
    <row r="2511">
      <c r="A2511" s="47"/>
      <c r="B2511" s="8"/>
      <c r="C2511" s="8"/>
      <c r="D2511" s="48"/>
      <c r="E2511" s="47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</row>
    <row r="2512">
      <c r="A2512" s="47"/>
      <c r="B2512" s="8"/>
      <c r="C2512" s="8"/>
      <c r="D2512" s="48"/>
      <c r="E2512" s="47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</row>
    <row r="2513">
      <c r="A2513" s="47"/>
      <c r="B2513" s="8"/>
      <c r="C2513" s="8"/>
      <c r="D2513" s="48"/>
      <c r="E2513" s="47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</row>
    <row r="2514">
      <c r="A2514" s="47"/>
      <c r="B2514" s="8"/>
      <c r="C2514" s="8"/>
      <c r="D2514" s="48"/>
      <c r="E2514" s="47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</row>
    <row r="2515">
      <c r="A2515" s="47"/>
      <c r="B2515" s="8"/>
      <c r="C2515" s="8"/>
      <c r="D2515" s="48"/>
      <c r="E2515" s="47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</row>
    <row r="2516">
      <c r="A2516" s="47"/>
      <c r="B2516" s="8"/>
      <c r="C2516" s="8"/>
      <c r="D2516" s="48"/>
      <c r="E2516" s="47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</row>
    <row r="2517">
      <c r="A2517" s="47"/>
      <c r="B2517" s="8"/>
      <c r="C2517" s="8"/>
      <c r="D2517" s="48"/>
      <c r="E2517" s="47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</row>
    <row r="2518">
      <c r="A2518" s="47"/>
      <c r="B2518" s="8"/>
      <c r="C2518" s="8"/>
      <c r="D2518" s="48"/>
      <c r="E2518" s="47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</row>
    <row r="2519">
      <c r="A2519" s="47"/>
      <c r="B2519" s="8"/>
      <c r="C2519" s="8"/>
      <c r="D2519" s="48"/>
      <c r="E2519" s="47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</row>
    <row r="2520">
      <c r="A2520" s="47"/>
      <c r="B2520" s="8"/>
      <c r="C2520" s="8"/>
      <c r="D2520" s="48"/>
      <c r="E2520" s="47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</row>
    <row r="2521">
      <c r="A2521" s="47"/>
      <c r="B2521" s="8"/>
      <c r="C2521" s="8"/>
      <c r="D2521" s="48"/>
      <c r="E2521" s="47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</row>
    <row r="2522">
      <c r="A2522" s="47"/>
      <c r="B2522" s="8"/>
      <c r="C2522" s="8"/>
      <c r="D2522" s="48"/>
      <c r="E2522" s="47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</row>
    <row r="2523">
      <c r="A2523" s="47"/>
      <c r="B2523" s="8"/>
      <c r="C2523" s="8"/>
      <c r="D2523" s="48"/>
      <c r="E2523" s="47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</row>
    <row r="2524">
      <c r="A2524" s="47"/>
      <c r="B2524" s="8"/>
      <c r="C2524" s="8"/>
      <c r="D2524" s="48"/>
      <c r="E2524" s="47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</row>
    <row r="2525">
      <c r="A2525" s="49"/>
      <c r="B2525" s="8"/>
      <c r="C2525" s="8"/>
      <c r="D2525" s="48"/>
      <c r="E2525" s="47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</row>
    <row r="2526">
      <c r="A2526" s="47"/>
      <c r="B2526" s="8"/>
      <c r="C2526" s="8"/>
      <c r="D2526" s="48"/>
      <c r="E2526" s="47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</row>
    <row r="2527">
      <c r="A2527" s="47"/>
      <c r="B2527" s="8"/>
      <c r="C2527" s="8"/>
      <c r="D2527" s="48"/>
      <c r="E2527" s="47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</row>
    <row r="2528">
      <c r="A2528" s="47"/>
      <c r="B2528" s="8"/>
      <c r="C2528" s="8"/>
      <c r="D2528" s="48"/>
      <c r="E2528" s="47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</row>
    <row r="2529">
      <c r="A2529" s="47"/>
      <c r="B2529" s="8"/>
      <c r="C2529" s="8"/>
      <c r="D2529" s="48"/>
      <c r="E2529" s="47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</row>
    <row r="2530">
      <c r="A2530" s="47"/>
      <c r="B2530" s="8"/>
      <c r="C2530" s="8"/>
      <c r="D2530" s="48"/>
      <c r="E2530" s="47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</row>
    <row r="2531">
      <c r="A2531" s="47"/>
      <c r="B2531" s="8"/>
      <c r="C2531" s="8"/>
      <c r="D2531" s="48"/>
      <c r="E2531" s="47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</row>
  </sheetData>
  <autoFilter ref="$A$1:$Z$2531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hamza benlahsen</dc:creator>
</cp:coreProperties>
</file>